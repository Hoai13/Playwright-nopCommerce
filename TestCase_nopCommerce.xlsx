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B2D57992-62F6-4B60-8BA3-21E6B47D6E6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egister" sheetId="1" r:id="rId1"/>
    <sheet name="Search Product" sheetId="2" r:id="rId2"/>
    <sheet name="Product Category" sheetId="3" r:id="rId3"/>
    <sheet name="Add Review" sheetId="6" r:id="rId4"/>
    <sheet name="Shopping Cart" sheetId="4" r:id="rId5"/>
    <sheet name="Summary" sheetId="7" r:id="rId6"/>
  </sheets>
  <definedNames>
    <definedName name="_xlnm._FilterDatabase" localSheetId="0" hidden="1">Register!$A$1:$N$28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7" l="1"/>
  <c r="G7" i="7"/>
  <c r="F7" i="7"/>
  <c r="H6" i="7"/>
  <c r="G6" i="7"/>
  <c r="F6" i="7"/>
  <c r="H5" i="7"/>
  <c r="G5" i="7"/>
  <c r="F5" i="7"/>
  <c r="H4" i="7"/>
  <c r="G4" i="7"/>
  <c r="F4" i="7"/>
  <c r="H3" i="7"/>
  <c r="G3" i="7"/>
  <c r="F3" i="7"/>
  <c r="C3" i="7"/>
  <c r="E6" i="7"/>
  <c r="E7" i="7"/>
  <c r="B7" i="7"/>
  <c r="C6" i="7"/>
  <c r="D6" i="7"/>
  <c r="B6" i="7"/>
  <c r="E5" i="7"/>
  <c r="D5" i="7"/>
  <c r="C5" i="7"/>
  <c r="E4" i="7"/>
  <c r="D4" i="7"/>
  <c r="E3" i="7"/>
  <c r="D3" i="7"/>
  <c r="B3" i="7"/>
  <c r="D7" i="7"/>
  <c r="C7" i="7"/>
  <c r="C4" i="7"/>
  <c r="B5" i="7"/>
  <c r="B4" i="7"/>
  <c r="B8" i="7" l="1"/>
</calcChain>
</file>

<file path=xl/sharedStrings.xml><?xml version="1.0" encoding="utf-8"?>
<sst xmlns="http://schemas.openxmlformats.org/spreadsheetml/2006/main" count="1171" uniqueCount="633">
  <si>
    <t>TC-ID</t>
  </si>
  <si>
    <t>Description
(Test Scenario)</t>
  </si>
  <si>
    <t>Pre-condition</t>
  </si>
  <si>
    <t>Test step</t>
  </si>
  <si>
    <t>Step condition to perform</t>
  </si>
  <si>
    <t>Data</t>
  </si>
  <si>
    <t>Priority</t>
  </si>
  <si>
    <t>Expected result</t>
  </si>
  <si>
    <t>Testing Result</t>
  </si>
  <si>
    <t>Date</t>
  </si>
  <si>
    <t>Who checked</t>
  </si>
  <si>
    <t>BUG ID</t>
  </si>
  <si>
    <t>Comment</t>
  </si>
  <si>
    <t>Chrome</t>
  </si>
  <si>
    <t>Microsoft Egde</t>
  </si>
  <si>
    <t>RE-001</t>
  </si>
  <si>
    <t>Register successfully</t>
  </si>
  <si>
    <t>Stay at Register screen</t>
  </si>
  <si>
    <t xml:space="preserve">1. Fill all required fields  
2. Click Register button	</t>
  </si>
  <si>
    <t>1.1 Verify that user can register successfully with valid data</t>
  </si>
  <si>
    <t>First Name: abc
Last Name: abc
Email: h@gmail.com
Password: 123456
Confirm Password: 123456</t>
  </si>
  <si>
    <t>High</t>
  </si>
  <si>
    <t>Registration successful, System redirects to registration success page, User logged in automatically</t>
  </si>
  <si>
    <t>Passed</t>
  </si>
  <si>
    <t>RE-002</t>
  </si>
  <si>
    <t>Register with optional fields</t>
  </si>
  <si>
    <t>1. Fill all required fields 
2. Fill optional fields  
3. Click Register</t>
  </si>
  <si>
    <t>2.1 Verify that user can register with Gender field</t>
  </si>
  <si>
    <t>Gender: " "/Male/Female
First Name: abc
Last Name: abc
Email: h@gmail.com
Password: 123456
Confirm Password: 123456</t>
  </si>
  <si>
    <t>Low</t>
  </si>
  <si>
    <t>Registration successful, System redirects to registration success page</t>
  </si>
  <si>
    <t>RE-003</t>
  </si>
  <si>
    <t>2.2 Verify that user can register with Company field</t>
  </si>
  <si>
    <t>First Name: abc
Last Name: abc
Email: h@gmail.com
Company: " "/ "abc"
Password: 123456
Confirm Password: 123456</t>
  </si>
  <si>
    <t>RE-004</t>
  </si>
  <si>
    <t>2.3 Verify that user can register with Newsletter option selected</t>
  </si>
  <si>
    <t>First Name: abc
Last Name: abc
Email: h@gmail.com
Newsletter: checked/unchecked
Password: 123456
Confirm Password: 123456</t>
  </si>
  <si>
    <t>RE-005</t>
  </si>
  <si>
    <t>Register unsuccessful by First Name</t>
  </si>
  <si>
    <t>1. Fill all required fields( except: First Name)
2. Input invalid First Name
3. Click Register</t>
  </si>
  <si>
    <t>2.1 Verify that system displays error when First Name is empty</t>
  </si>
  <si>
    <t>First Name: " "
Last Name: abc
Email: h@gmail.com
Password: 123456
Confirm Password: 123456</t>
  </si>
  <si>
    <t>Error message "First name is required"</t>
  </si>
  <si>
    <t>RE-006</t>
  </si>
  <si>
    <t>2.2 Verify that system displays error when First Name contains numbers</t>
  </si>
  <si>
    <t>First Name: 12345
Last Name: abc
Email: h@gmail.com
Password: 123456
Confirm Password: 123456</t>
  </si>
  <si>
    <t>Medium</t>
  </si>
  <si>
    <t>Error message displayed</t>
  </si>
  <si>
    <t>Failed</t>
  </si>
  <si>
    <t>RE-007</t>
  </si>
  <si>
    <t>2.3 Verify that system displays error when First Name contains special characters</t>
  </si>
  <si>
    <t>First Name: @#$%
Last Name: abc
Email: h@gmail.com
Password: 123456
Confirm Password: 123456</t>
  </si>
  <si>
    <t>RE-008</t>
  </si>
  <si>
    <t>2.4 Verify that system displays error when First Name exceeds maximum length</t>
  </si>
  <si>
    <t>First Name: (long firstname)
Last Name: abc
Email: h@gmail.com
Password: 123456
Confirm Password: 123456</t>
  </si>
  <si>
    <t>RE-009</t>
  </si>
  <si>
    <t>Register unsuccessful by Last Name</t>
  </si>
  <si>
    <t>1. Fill all required fields(except: Last Name)
2. Input invalid Last Name
3. Click Register</t>
  </si>
  <si>
    <t>2.1 Verify that system displays error when Last Name is empty</t>
  </si>
  <si>
    <t>First Name: abc
Last Name: " "
Email: h@gmail.com
Password: 123456
Confirm Password: 123456</t>
  </si>
  <si>
    <t>Error message "Last name is required"</t>
  </si>
  <si>
    <t>RE-010</t>
  </si>
  <si>
    <t>2.2 Verify that system displays error when Last Name contains numbers</t>
  </si>
  <si>
    <t>First Name: abc
Last Name: 12345
Email: h@gmail.com
Password: 123456
Confirm Password: 123456</t>
  </si>
  <si>
    <t>RE-011</t>
  </si>
  <si>
    <t>2.3 Verify that system displays error when Last Name contains special characters</t>
  </si>
  <si>
    <t>First Name: abc
Last Name: @#$%
Email: h@gmail.com
Password: 123456
Confirm Password: 123456</t>
  </si>
  <si>
    <t>RE-012</t>
  </si>
  <si>
    <t>2.4  Verify that system displays error when Last Name exceeds maximum length</t>
  </si>
  <si>
    <t>First Name: abc
Last Name: (long lastname)
Email: h@gmail.com
Password: 123456
Confirm Password: 123456</t>
  </si>
  <si>
    <t>RE-013</t>
  </si>
  <si>
    <t>Register unsuccessful by Email</t>
  </si>
  <si>
    <t>1. Fill all required fields(except: Email)
2. Input invalid Email
3. Click Register</t>
  </si>
  <si>
    <t>2.1 Verify that system displays error when Email is empty</t>
  </si>
  <si>
    <t>First Name: abc
Last Name: abc
Email: " "
Password: 123456
Confirm Password: 123456</t>
  </si>
  <si>
    <t>Error message "Email is required"</t>
  </si>
  <si>
    <t>RE-014</t>
  </si>
  <si>
    <t>2.2 Verify that system displays error when Email is missing '@'</t>
  </si>
  <si>
    <t>First Name: abc
Last Name: abc
Email: abcgmail.com
Password: 123456
Confirm Password: 123456</t>
  </si>
  <si>
    <t>Error message displayed "Please enter a valid email address."</t>
  </si>
  <si>
    <t>RE-015</t>
  </si>
  <si>
    <t>2.3 Verify that system displays error when Email is missing domain</t>
  </si>
  <si>
    <t>First Name: abc
Last Name: abc
Email: abc@
Password: 123456
Confirm Password: 123456</t>
  </si>
  <si>
    <t>RE-016</t>
  </si>
  <si>
    <t>2.4 Verify that system displays error when Email contains spaces</t>
  </si>
  <si>
    <t>First Name: abc
Last Name: abc
Email: abc   @gmail.com
Password: 123456
Confirm Password: 123456</t>
  </si>
  <si>
    <t>RE-017</t>
  </si>
  <si>
    <t>2.5 Verify that system displays error when Email contains invalid special characters</t>
  </si>
  <si>
    <t>First Name: abc
Last Name: abc
Email: !#$%^^@gmail.com
Password: 123456
Confirm Password: 123456</t>
  </si>
  <si>
    <t>RE-018</t>
  </si>
  <si>
    <t>2.6 Verify that system displays error when Email exceeds maximum length</t>
  </si>
  <si>
    <t>First Name: abc
Last Name: abc
Email: totalLength = 260
Password: 123456
Confirm Password: 123456</t>
  </si>
  <si>
    <t>RE-019</t>
  </si>
  <si>
    <t>2.7 Verify that system displays error when Email is already registered</t>
  </si>
  <si>
    <t>First Name: abc
Last Name: abc
Email: existing email
Password: 123456
Confirm Password: 123456</t>
  </si>
  <si>
    <t>Error message "The specified email already exists"</t>
  </si>
  <si>
    <t>RE-020</t>
  </si>
  <si>
    <t>Register unsuccessful by Password</t>
  </si>
  <si>
    <t>1. Fill all required fields(except: Password)
2. Input invalid Password
3. Click Register</t>
  </si>
  <si>
    <t>2.1 Verify that system displays error when Password is empty</t>
  </si>
  <si>
    <t>First Name: abc
Last Name: abc
Email: h@gmail.com
Password: " "
Confirm Password: " "</t>
  </si>
  <si>
    <t>Error message displayed: "Password is required."</t>
  </si>
  <si>
    <t>RE-021</t>
  </si>
  <si>
    <t>2.2 Verify that system displays error when Password is shorter than minimum length</t>
  </si>
  <si>
    <t>First Name: abc
Last Name: abc
Email: h@gmail.com
Password: 123
Confirm Password: 123</t>
  </si>
  <si>
    <t>Error message displayed: "must have at least 6 characters and not greater than 64 characters"</t>
  </si>
  <si>
    <t>RE-022</t>
  </si>
  <si>
    <t>2.3 Verify that system displays error when Password exceeds maximum length</t>
  </si>
  <si>
    <t>First Name: abc
Last Name: abc
Email: h@gmail.com
Password: &gt;64 char
Confirm Password: &gt;64 char</t>
  </si>
  <si>
    <t>RE-023</t>
  </si>
  <si>
    <t>Register unsuccessful by Confirm Password</t>
  </si>
  <si>
    <t>1. Fill all required fields 
2. Input unmatched confirm password
3. Click Register</t>
  </si>
  <si>
    <t>2.1 Verify that system displays error when Confirm Password is empty</t>
  </si>
  <si>
    <t>First Name: abc
Last Name: abc
Email: h@gmail.com
Password: 123456
Confirm Password: " "</t>
  </si>
  <si>
    <t>RE-024</t>
  </si>
  <si>
    <t>2.2 Verify that system displays error when Confirm Password does not match Password</t>
  </si>
  <si>
    <t>First Name: abc
Last Name: abc
Email: h@gmail.com
Password: 123456
Confirm Password: 123</t>
  </si>
  <si>
    <t>RE-025</t>
  </si>
  <si>
    <t>Password field masking</t>
  </si>
  <si>
    <t>1. Input password</t>
  </si>
  <si>
    <t>1.1 Verify that password field masks input characters</t>
  </si>
  <si>
    <t>Password shown as ******</t>
  </si>
  <si>
    <t>RE-026</t>
  </si>
  <si>
    <t>Enter key works instead of click Register button</t>
  </si>
  <si>
    <t>1. Fill all required fields  
2. Press Enter key</t>
  </si>
  <si>
    <t>2.1 Verify that user can submit registration form using Enter key</t>
  </si>
  <si>
    <t>Registration form is submitted and user is registered successfully</t>
  </si>
  <si>
    <t>SR-001</t>
  </si>
  <si>
    <t>Search Keyword Validations</t>
  </si>
  <si>
    <t>Stay at Home page</t>
  </si>
  <si>
    <t>1. Input keyword into Search box
2. Click 'Search' button</t>
  </si>
  <si>
    <t>1.1 Verify that system displays validation message when user searches with empty keyword</t>
  </si>
  <si>
    <t>""</t>
  </si>
  <si>
    <t>Message: "Search term minimum length is 3 characters"
No search results displayed</t>
  </si>
  <si>
    <t>SR-002</t>
  </si>
  <si>
    <t>1.2 Verify that system displays validation message when user searches with only spaces</t>
  </si>
  <si>
    <t>"   "</t>
  </si>
  <si>
    <t>SR-003</t>
  </si>
  <si>
    <t>1.3 Verify that system handles search with special characters</t>
  </si>
  <si>
    <t>"@#$%^"</t>
  </si>
  <si>
    <t>Message: "No products were found"</t>
  </si>
  <si>
    <t>SR-004</t>
  </si>
  <si>
    <t>1.4 Verify that system handles search with very long keyword</t>
  </si>
  <si>
    <t>200+ characters</t>
  </si>
  <si>
    <t>SR-005</t>
  </si>
  <si>
    <t>1.5 Verify that user can search with valid keyword (&gt; 3 characters)</t>
  </si>
  <si>
    <t>"Apple"</t>
  </si>
  <si>
    <t>Results display products containing the keyword.</t>
  </si>
  <si>
    <t>SR-006</t>
  </si>
  <si>
    <t>1.6 Verify that user can search with keyword of exactly 3 characters</t>
  </si>
  <si>
    <t>"cam"</t>
  </si>
  <si>
    <t>SR-007</t>
  </si>
  <si>
    <t>1.7 Verify that system displays validation message when keyword is less than 3 characters</t>
  </si>
  <si>
    <t>ab</t>
  </si>
  <si>
    <t>Message: "Search term minimum length is 3 characters"</t>
  </si>
  <si>
    <t>SR-008</t>
  </si>
  <si>
    <t>1.8 Verify that system trims leading and trailing spaces in search keyword</t>
  </si>
  <si>
    <t>" laptop "</t>
  </si>
  <si>
    <t>System trims spaces and returns results for "laptop".</t>
  </si>
  <si>
    <t>SR-009</t>
  </si>
  <si>
    <t>1.9 Verify that system displays no results message for non-existing keyword</t>
  </si>
  <si>
    <t>"xyz123"</t>
  </si>
  <si>
    <t>Message: "No products were found that matched your criteria."</t>
  </si>
  <si>
    <t>SR-010</t>
  </si>
  <si>
    <t>1.10 Verify that system performs case-insensitive search</t>
  </si>
  <si>
    <t>"BUILD" / "build"</t>
  </si>
  <si>
    <t>Both searches return the exact same product list</t>
  </si>
  <si>
    <t>SR-011</t>
  </si>
  <si>
    <t>Search using Enter key</t>
  </si>
  <si>
    <t xml:space="preserve">1. Input keyword 
2. Press Enter	</t>
  </si>
  <si>
    <t>2.1 Verify that user can search using Enter key</t>
  </si>
  <si>
    <t>laptop</t>
  </si>
  <si>
    <t>System performs search</t>
  </si>
  <si>
    <t>SR-012</t>
  </si>
  <si>
    <t>Advanced Search UI &amp; Logic</t>
  </si>
  <si>
    <t>Stay at Search page</t>
  </si>
  <si>
    <t>1. Check/Uncheck 'Advanced search' checkbox</t>
  </si>
  <si>
    <t>1.1 Verify that Advanced Search options are displayed when checkbox is checked</t>
  </si>
  <si>
    <t>Checked</t>
  </si>
  <si>
    <t>Advanced options (Category, Manufacturer) become visible.</t>
  </si>
  <si>
    <t>SR-013</t>
  </si>
  <si>
    <t>1.2 Verify that Advanced Search options are hidden when checkbox is unchecked</t>
  </si>
  <si>
    <t>Unchecked</t>
  </si>
  <si>
    <t>Advanced options are hidden.</t>
  </si>
  <si>
    <t>SR-014</t>
  </si>
  <si>
    <t>Filter by Category &amp; Manufacturer</t>
  </si>
  <si>
    <t>1. Input keyword
2. Enable Advanced Search
3. Select filters
4. Click 'Search'</t>
  </si>
  <si>
    <t>3.1 Verify that user can filter search results by Category with keyword</t>
  </si>
  <si>
    <t>Keyword: "Nokia", 
Category:"Electronics/Cellphones"</t>
  </si>
  <si>
    <t>Only products within "Electronics" and contain keyword are displayed.</t>
  </si>
  <si>
    <t>SR-015</t>
  </si>
  <si>
    <t>3.2 Verify that user can filter search results by Manufacturer with keyword</t>
  </si>
  <si>
    <t>Keyword: "Cam", Manufacturer: "Apple"</t>
  </si>
  <si>
    <t>Only products made by Apple are displayed.</t>
  </si>
  <si>
    <t>SR-016</t>
  </si>
  <si>
    <t>3.3 Verify that user can filter search results by both Category and Manufacturer</t>
  </si>
  <si>
    <t>Keyword: "Camera"  
Category: Electronics  
Manufacturer: Apple</t>
  </si>
  <si>
    <t>Only products matching keyword "Camera" in "Electronics" category and from "Apple" are displayed</t>
  </si>
  <si>
    <t>SR-017</t>
  </si>
  <si>
    <t>3.4 Verify that user can search with Category including subcategories</t>
  </si>
  <si>
    <t>Keyword: "Camera", 
Category: "Electronics", 
Sub-cat: Checked</t>
  </si>
  <si>
    <t>Displays products in "Camera" and all its sub-folders.</t>
  </si>
  <si>
    <t>SR-018</t>
  </si>
  <si>
    <t>3.5 Verify that user can search with Category filter when keyword is empty</t>
  </si>
  <si>
    <t>Keyword: "", 
Category: "Electronics"</t>
  </si>
  <si>
    <t>SR-019</t>
  </si>
  <si>
    <t>3.6 Verify that user can search with Manufacturer filter when keyword is empty</t>
  </si>
  <si>
    <t>Keyword: "", Manufacturer: "Apple"</t>
  </si>
  <si>
    <t>SR-020</t>
  </si>
  <si>
    <t>3.7 Verify that user can search with Category and Manufacturer when keyword is empty</t>
  </si>
  <si>
    <t>Keyword: "", 
Category: "Electronics", 
Manufacturer: "Apple"</t>
  </si>
  <si>
    <t>SR-021</t>
  </si>
  <si>
    <t>Extended Search Scope</t>
  </si>
  <si>
    <t>1. Enable Advanced Search
2. Check scope options
3. Click 'Search'</t>
  </si>
  <si>
    <t>2.1 Verify that user can search within product descriptions</t>
  </si>
  <si>
    <t>Keyword: "Cam", 
Check "Search in product descriptions"</t>
  </si>
  <si>
    <t>System finds keyword "cam" within the product's long description text.</t>
  </si>
  <si>
    <t>SR-022</t>
  </si>
  <si>
    <t>2.2 Verify that user can search within product tags</t>
  </si>
  <si>
    <t>Keyword: "Cam", 
Check "Search in product tags"</t>
  </si>
  <si>
    <t>System finds products associated with the specific tag.</t>
  </si>
  <si>
    <t>SR-023</t>
  </si>
  <si>
    <t>Sort Search Results</t>
  </si>
  <si>
    <t>Search results are displayed</t>
  </si>
  <si>
    <t>1. Click 'Sort by' dropdown
2. Select an option</t>
  </si>
  <si>
    <t>1.1 Verify that user can sort results by Name (A to Z)</t>
  </si>
  <si>
    <t>Option: Name A-Z / Z-A</t>
  </si>
  <si>
    <t>Products are sorted alphabetically by title (A to Z / Z to A).</t>
  </si>
  <si>
    <t>SR-024</t>
  </si>
  <si>
    <t>1.2 Verify that user can sort results by Price</t>
  </si>
  <si>
    <t>Option: Price Low-High / High-Low</t>
  </si>
  <si>
    <t>Products are sorted from lowest price to highest price or  highest price to lowest price</t>
  </si>
  <si>
    <t>SR-025</t>
  </si>
  <si>
    <t>1.3 Verify that user can sort results by Created on</t>
  </si>
  <si>
    <t>Option: Created on</t>
  </si>
  <si>
    <t>Products are sorted by the date they were added to the system (Newest first).</t>
  </si>
  <si>
    <t>PC-001</t>
  </si>
  <si>
    <t>Category Basic</t>
  </si>
  <si>
    <t>1. Click a category on Menu</t>
  </si>
  <si>
    <t>1.1 Verify that user can view category page with products</t>
  </si>
  <si>
    <t>"Computers"</t>
  </si>
  <si>
    <t>Page loads successfully; Title and Breadcrumb match(Home / Computers), Show Sub-Category name.</t>
  </si>
  <si>
    <t>PC-002</t>
  </si>
  <si>
    <t>1.2 Verify that system displays message when category has no products</t>
  </si>
  <si>
    <t>Message: "No products were found" displayed.</t>
  </si>
  <si>
    <t>Un-test</t>
  </si>
  <si>
    <t>PC-003</t>
  </si>
  <si>
    <t>Sub-category</t>
  </si>
  <si>
    <t>1. Hover over category have sub-category in menu
2. Click on sub-category</t>
  </si>
  <si>
    <t>1.1 Verify that sub-categories are displayed on hovering over a category</t>
  </si>
  <si>
    <t>Sub-categories are displayed correctly when user hovers over parent category.</t>
  </si>
  <si>
    <t>PC-004</t>
  </si>
  <si>
    <t>2.1 Verify that user can navigate to sub-category page</t>
  </si>
  <si>
    <t>Category: "Computers"
Sub-category: "Notebooks"</t>
  </si>
  <si>
    <t>Redirection to Notebooks
Breadcrumb: Home / Computers / Notebooks
Product list is displayed</t>
  </si>
  <si>
    <t>PC-005</t>
  </si>
  <si>
    <t>Breadcrumb</t>
  </si>
  <si>
    <t>User is on Category page</t>
  </si>
  <si>
    <t>1. Open Category page
2. Observe breadcrumb
3. Click breadcrumb items</t>
  </si>
  <si>
    <t>2.1 Verify that breadcrumb is displayed correctly on category page</t>
  </si>
  <si>
    <t>Home / Computers</t>
  </si>
  <si>
    <t>Breadcrumb displays correctly (Home / Category)</t>
  </si>
  <si>
    <t>PC-006</t>
  </si>
  <si>
    <t>3.1 Verify that user can navigate to Home page via breadcrumb</t>
  </si>
  <si>
    <t>Click "Home"</t>
  </si>
  <si>
    <t>User is redirected to Home page</t>
  </si>
  <si>
    <t>PC-007</t>
  </si>
  <si>
    <t>User is on Sub-category page</t>
  </si>
  <si>
    <t>2.2 Verify that sub-category breadcrumb hierarchy is correct</t>
  </si>
  <si>
    <t>Computers / Notebooks</t>
  </si>
  <si>
    <t>Breadcrumb shows full (Home / Computers / Notebooks)</t>
  </si>
  <si>
    <t>PC-008</t>
  </si>
  <si>
    <t>3.2 Verify that user can navigate to parent category via breadcrumb</t>
  </si>
  <si>
    <t>Click "Computers"</t>
  </si>
  <si>
    <t>User is redirected to parent category page</t>
  </si>
  <si>
    <t>PC-009</t>
  </si>
  <si>
    <t xml:space="preserve">View Mode </t>
  </si>
  <si>
    <t>User is on Product List page</t>
  </si>
  <si>
    <t>1. Change View Mode (Grid/List)
2. Perform other actions (Filter/Sort/Page)
3. Navigate away and back</t>
  </si>
  <si>
    <t>1.1 Verify default view mode is applied correctly</t>
  </si>
  <si>
    <t>Open Category</t>
  </si>
  <si>
    <t>Default view is displayed; Icon for Grid view is highlighted.</t>
  </si>
  <si>
    <t>PC-010</t>
  </si>
  <si>
    <t>1.2 Verify that products are displayed correctly in Grid view</t>
  </si>
  <si>
    <t>Click Grid View</t>
  </si>
  <si>
    <t>Products are displayed in a responsive grid layout correctly.</t>
  </si>
  <si>
    <t>PC-011</t>
  </si>
  <si>
    <t>1.3 Verify that products are displayed correctly in List view</t>
  </si>
  <si>
    <t>Click List View</t>
  </si>
  <si>
    <t>Layout switches to rows; product details (description) are more visible.</t>
  </si>
  <si>
    <t>PC-012</t>
  </si>
  <si>
    <t>1.4 Verify that user can toggle between Grid and List view</t>
  </si>
  <si>
    <t>View mode switches correctly between Grid and List view.</t>
  </si>
  <si>
    <t>PC-013</t>
  </si>
  <si>
    <t>2.5 Verify that selected view mode is maintained after pagination, sorting, and filtering</t>
  </si>
  <si>
    <t>Select category: Electronics/Cell phones
- Select List view -&gt; Go to Page 2
- Select List view -&gt; Apply Sort
- Select List view -&gt; Apply Filter</t>
  </si>
  <si>
    <t>Selected view mode remains applied after pagination, sorting, and filtering actions.</t>
  </si>
  <si>
    <t>PC-014</t>
  </si>
  <si>
    <t>Product Navigation</t>
  </si>
  <si>
    <t xml:space="preserve">User is on Product List page </t>
  </si>
  <si>
    <t>1. Locate a product
2. Click product (name/image)
3. Observe Product Detail page</t>
  </si>
  <si>
    <t>2.1 Verify that user can navigate to product detail page from product list</t>
  </si>
  <si>
    <t>Category: Computers / Notebooks / Apple MacBook Pro</t>
  </si>
  <si>
    <t>User is redirected to correct Product Detail page</t>
  </si>
  <si>
    <t>PC-015</t>
  </si>
  <si>
    <t>Product Action</t>
  </si>
  <si>
    <t>1. Locate a product
2. Click action</t>
  </si>
  <si>
    <t>2.1 Verify that user can add product to cart from product list</t>
  </si>
  <si>
    <t>Any product</t>
  </si>
  <si>
    <t>Product is added to cart; success notification displayed; cart icon updates quantity</t>
  </si>
  <si>
    <t>PC-016</t>
  </si>
  <si>
    <t>2.2 Verify that system requires selecting options before adding configurable product to cart</t>
  </si>
  <si>
    <t>Click Category: computers -&gt; Desktops -&gt; "Build your own computer"</t>
  </si>
  <si>
    <t>User is redirected to product detail page or prompted to select required options before adding</t>
  </si>
  <si>
    <t>PC-017</t>
  </si>
  <si>
    <t>2.3 Verify that user can add product to wishlist from product list</t>
  </si>
  <si>
    <t>Product is added to wishlist; success message displayed</t>
  </si>
  <si>
    <t>PC-018</t>
  </si>
  <si>
    <t>2.4Verify that system requires selecting options before adding configurable product to wishlist</t>
  </si>
  <si>
    <t>User is redirected to product detail page to select required options before adding</t>
  </si>
  <si>
    <t>PC-019</t>
  </si>
  <si>
    <t>2.5 Verify that user can add product to compare list</t>
  </si>
  <si>
    <t>Product is added to compare list; success notification displayed</t>
  </si>
  <si>
    <t>PC-020</t>
  </si>
  <si>
    <t>Filter Logic</t>
  </si>
  <si>
    <t>1. Navigate to a category (ex:Computers / Notebooks)
2. Apply single/multiple filters
3. Observe product list</t>
  </si>
  <si>
    <t>1.1 Verify that user can apply a single filter</t>
  </si>
  <si>
    <t>Filter: "Manufacturer: Apple"</t>
  </si>
  <si>
    <t>Only products matching selected filter are displayed.</t>
  </si>
  <si>
    <t>PC-021</t>
  </si>
  <si>
    <t>2.2 Verify that user can apply multiple filters simultaneously</t>
  </si>
  <si>
    <t>Filter by attributes: Intel Core i5
Filter by manufacturer: HP</t>
  </si>
  <si>
    <t>Products must match ALL selected filters</t>
  </si>
  <si>
    <t>PC-022</t>
  </si>
  <si>
    <t>Pagination Logic</t>
  </si>
  <si>
    <t>1. Navigate to a category (ex:Electronics / Cell phones)
2. Select Display "3" per page
3. Navigate via numbers/buttons pagination</t>
  </si>
  <si>
    <t>3.1 Verify that Previous button is disabled on the first page</t>
  </si>
  <si>
    <t>Page 1</t>
  </si>
  <si>
    <t>"Previous" button is disabled, Current page = 1, "Next" button is enabled</t>
  </si>
  <si>
    <t>PC-023</t>
  </si>
  <si>
    <t>3.2 Verify that user can navigate to next or specific page</t>
  </si>
  <si>
    <t>On Page 1
Click "Next" or "Page 2/2"</t>
  </si>
  <si>
    <t>Page 2 products are displayed correctly
"Previous" is enabled
Current page = "2"</t>
  </si>
  <si>
    <t>PC-024</t>
  </si>
  <si>
    <t>3.3 Verify that Next button is disabled on the last page</t>
  </si>
  <si>
    <t>Navigate to Last Page</t>
  </si>
  <si>
    <t xml:space="preserve"> "Next" button is disabled; "Previous" remains enabled.</t>
  </si>
  <si>
    <t>PC-025</t>
  </si>
  <si>
    <t>3.4 Verify that user can navigate to previous page</t>
  </si>
  <si>
    <t>Click "Previous" from Page 2</t>
  </si>
  <si>
    <t>User redirected to Page 1; Correct products for Page 1 displayed.</t>
  </si>
  <si>
    <t>PC-026</t>
  </si>
  <si>
    <t>Page Size Configuration</t>
  </si>
  <si>
    <t>1. Navigate to a category (ex:Electronics / Cell phones)
2. Select "Display per page"
3. Observe pagination</t>
  </si>
  <si>
    <t>2.1 Verify that number of products per page changes based on selected page size</t>
  </si>
  <si>
    <t>Select 3 / 6 / 9</t>
  </si>
  <si>
    <t>Product count per page updates; Pagination total pages recalculate correctly</t>
  </si>
  <si>
    <t>PC-027</t>
  </si>
  <si>
    <t>1.2 Verify that page resets or updates correctly when changing page size on page greater than 1</t>
  </si>
  <si>
    <t>On Page 2 -&gt; Change Page Size( 3 -&gt; 6)</t>
  </si>
  <si>
    <t xml:space="preserve">System resets to Page 1 </t>
  </si>
  <si>
    <t>PC-028</t>
  </si>
  <si>
    <t>URL Pagination</t>
  </si>
  <si>
    <t>User manually edits URL</t>
  </si>
  <si>
    <t>1. Navigate to a category (ex:Electronics / Cell phones)
2. Select Display "3" per page
3. Input invalid values in ?pagenumber= parameter</t>
  </si>
  <si>
    <t>3.1 Verify that system handles zero or negative page number correctly</t>
  </si>
  <si>
    <t>?pagenumber=0 or ?pagenumber=-1</t>
  </si>
  <si>
    <t>System defaults to Page 1 and loads valid products</t>
  </si>
  <si>
    <t>PC-029</t>
  </si>
  <si>
    <t>3.2 Verify that system handles page number exceeding total pages</t>
  </si>
  <si>
    <t>?pagenumber=999</t>
  </si>
  <si>
    <t>Error:"No products were found that matched your criteria."</t>
  </si>
  <si>
    <t>PC-030</t>
  </si>
  <si>
    <t>3.3 Verify that system handles non-numeric page number input</t>
  </si>
  <si>
    <t>?pagenumber=abc</t>
  </si>
  <si>
    <t xml:space="preserve"> </t>
  </si>
  <si>
    <t>RV-001</t>
  </si>
  <si>
    <t>View reviews without login</t>
  </si>
  <si>
    <t>Stay at Product page, User not logged in</t>
  </si>
  <si>
    <t>1. Navigate to a category (ex:Category: Computers /Notebooks /Apple MacBook Pro )
2. Scroll to Review section</t>
  </si>
  <si>
    <t>1.1 Verify that user can view product reviews without login</t>
  </si>
  <si>
    <t>Reviews displayed, Add Review button disabled, cannot vote</t>
  </si>
  <si>
    <t>RV-002</t>
  </si>
  <si>
    <t>Add review with valid data</t>
  </si>
  <si>
    <t>User logged in, on Product List page</t>
  </si>
  <si>
    <t>1. Navigate to a category (ex:Category: Computers /Notebooks /Apple MacBook Pro )
2. Click Add Your Review
3. Enter valid title and text
4. Select rating
5. Click Submit</t>
  </si>
  <si>
    <t>5.1 Verify that user can submit a review with valid data</t>
  </si>
  <si>
    <t>Title: "Excellent Camera"
Text: "Great image quality and easy to use"
Rating: 5</t>
  </si>
  <si>
    <t>Review submitted successfully, appears in review list</t>
  </si>
  <si>
    <t>RV-003</t>
  </si>
  <si>
    <t xml:space="preserve">Add Review Title </t>
  </si>
  <si>
    <t>User logged in</t>
  </si>
  <si>
    <t>1. Navigate to a category (ex:Category: Computers /Notebooks /Apple MacBook Pro )
2. Click Add Your Review
3. Enter title
4. Enter valid text
5. Select rating
6. Submit</t>
  </si>
  <si>
    <t>3.1 Verify that system shows error when review title is empty</t>
  </si>
  <si>
    <t>Title: ""
Text: "Good camera"
Rating: 4</t>
  </si>
  <si>
    <t>Error: "Review title is required"</t>
  </si>
  <si>
    <t>RV-004</t>
  </si>
  <si>
    <t>3.2 Verify that user can submit review title containing special characters</t>
  </si>
  <si>
    <t>Title: "@#$%^&amp;*"
Text: "Good camera"
Rating: 4</t>
  </si>
  <si>
    <t>Review submitted successfully.</t>
  </si>
  <si>
    <t>RV-005</t>
  </si>
  <si>
    <t>3.3 Verify that system shows error when review title exceeds maximum length</t>
  </si>
  <si>
    <t>Title: 201 chars
Text: "Good camera"
Rating: 4</t>
  </si>
  <si>
    <t>Error: "Max length of product review title is 200 chars"</t>
  </si>
  <si>
    <t>RV-006</t>
  </si>
  <si>
    <t>3.4 Verify that system accepts review title at minimum boundary value</t>
  </si>
  <si>
    <t>Title: 1 char
Text: "Good camera"
Rating: 5</t>
  </si>
  <si>
    <t>Review submitted successfully</t>
  </si>
  <si>
    <t>RV-007</t>
  </si>
  <si>
    <t>3.5 Verify that system accepts review title at maximum boundary value</t>
  </si>
  <si>
    <t>Title: 200 chars
Text: "Good camera"
Rating: 5</t>
  </si>
  <si>
    <t>RV-008</t>
  </si>
  <si>
    <t>Add Review Text</t>
  </si>
  <si>
    <t>1. Navigate to a category (ex:Category: Computers /Notebooks /Apple MacBook Pro )
2. Click Add Your Review
3. Enter valid title
4. Enter text
5. Select rating
6. Submit</t>
  </si>
  <si>
    <t>4.1 Verify that system shows error when review text is empty</t>
  </si>
  <si>
    <t>Title: "Nice camera"
Text: ""
Rating: 4</t>
  </si>
  <si>
    <t>Error: "Review text is required"</t>
  </si>
  <si>
    <t>RV-009</t>
  </si>
  <si>
    <t>4.2 Verify that user can submit review text containing special characters</t>
  </si>
  <si>
    <t>Title: "Nice camera"
Text: "@#$%^&amp;*"
Rating: 4</t>
  </si>
  <si>
    <t>RV-010</t>
  </si>
  <si>
    <t>4.3 Verify that system accepts review text at minimum boundary value</t>
  </si>
  <si>
    <t>Title: "Good camera"
Text: a
Rating: 5</t>
  </si>
  <si>
    <t>RV-011</t>
  </si>
  <si>
    <t>Add Review Rating</t>
  </si>
  <si>
    <t>1. Navigate to a category (ex:Category: Computers /Notebooks /Apple MacBook Pro )
2. Click Add Your Review
3. Enter valid title &amp; text
4. Select rating
5. Submit</t>
  </si>
  <si>
    <t>4.1 Verify that default rating is applied when no rating is selected</t>
  </si>
  <si>
    <t>Title: "Good camera"
Text: "Works well"
Rating: not choose</t>
  </si>
  <si>
    <t>Review submitted with default 5 stars</t>
  </si>
  <si>
    <t>RV-012</t>
  </si>
  <si>
    <t>4.2 Verify that user can select rating from 1 to 5 stars</t>
  </si>
  <si>
    <t>Rating: 1,2,3,4,5</t>
  </si>
  <si>
    <t>RV-013</t>
  </si>
  <si>
    <t>Helpfulness vote</t>
  </si>
  <si>
    <t>1. Navigate to a category (ex:Category: Computers /Notebooks /Apple MacBook Pro )
2. Scroll to review
3. Click Yes/No for helpfulness</t>
  </si>
  <si>
    <t>3.1 Verify that user cannot vote helpfulness without login</t>
  </si>
  <si>
    <t>Vote not allowed</t>
  </si>
  <si>
    <t>RV-014</t>
  </si>
  <si>
    <t>3.2 Verify that user cannot vote on their own review</t>
  </si>
  <si>
    <t>System prevents voting own review</t>
  </si>
  <si>
    <t>RV-015</t>
  </si>
  <si>
    <t>3.3 Verify that user can vote other users’ reviews as helpful or not helpful</t>
  </si>
  <si>
    <t>Helpfulness count increases by 1</t>
  </si>
  <si>
    <t>Test steps</t>
  </si>
  <si>
    <t>SC-001</t>
  </si>
  <si>
    <t>Add Simple product to Cart</t>
  </si>
  <si>
    <t>1. Select a product want to add
2. Click "Add to Cart" button
3. Check Cart/Mini-cart</t>
  </si>
  <si>
    <t>1.1 Verify that user can add simple product to cart( not Required Options)</t>
  </si>
  <si>
    <t xml:space="preserve">Category: Books
Product: First Prize Pies
</t>
  </si>
  <si>
    <t>Product added successfully; Success message appears; Cart counter increases.</t>
  </si>
  <si>
    <t>SC-002</t>
  </si>
  <si>
    <t>1.2 Verify that system handles adding duplicate product to cart</t>
  </si>
  <si>
    <t>Category: Books
Product: First Prize Pies
(Twice)</t>
  </si>
  <si>
    <t>Product is NOT duplicated as a new row; Quantity increases in the cart.</t>
  </si>
  <si>
    <t>SC-003</t>
  </si>
  <si>
    <t>Add Configurable Product</t>
  </si>
  <si>
    <t>User is on Product Detail page</t>
  </si>
  <si>
    <t>1. Select a product want to add( Computers / Desktops / Build your own computer)
2. Open configurable product detail page
3. Select required configuration options
4. Click "Add to Cart"
5. Check Cart/Mini-car</t>
  </si>
  <si>
    <t>1.1 Verify that system requires selecting product options before adding to cart</t>
  </si>
  <si>
    <t xml:space="preserve">Category: Computers / Desktops / Build your own computer" (Required RAM/HDD)
</t>
  </si>
  <si>
    <t>If clicked from Category: Redirect to Detail page.
If on Detail: Highlight validation error for missing options.
( Please select RAM
  Please select HDD)</t>
  </si>
  <si>
    <t>SC-004</t>
  </si>
  <si>
    <t>3.1 Verify that user can add configurable product with required options</t>
  </si>
  <si>
    <t>Category: Computers / Desktops / Build your own computer
RAM: 8GB
HDD: 320GB</t>
  </si>
  <si>
    <t>Product added successfully; Product displayed correctly in cart with selected configuration</t>
  </si>
  <si>
    <t>SC-005</t>
  </si>
  <si>
    <t>3.2 Verify that product price updates after selecting configurable options</t>
  </si>
  <si>
    <t>Category: Computers / Desktops / Build your own computer
RAM: 8GB
HDD: 400GB</t>
  </si>
  <si>
    <t>Product price updates dynamically according to selected configuration options</t>
  </si>
  <si>
    <t>SC-006</t>
  </si>
  <si>
    <t>5.1 Verify that selected configuration is displayed correctly in shopping cart</t>
  </si>
  <si>
    <t>Shopping cart displays correct selected configuration information including RAM and HDD options</t>
  </si>
  <si>
    <t>SC-007</t>
  </si>
  <si>
    <t>5.2 Verify that different configurations create separate cart rows</t>
  </si>
  <si>
    <t>"Category: Computers / Desktops / Build your own computer
Config A: RAM 8GB + HDD 320GB
Config B: RAM 16GB + HDD 400GB</t>
  </si>
  <si>
    <t>Shopping cart displays configurable products as separate rows</t>
  </si>
  <si>
    <t>SC-008</t>
  </si>
  <si>
    <t>Quantity Boundary Validation</t>
  </si>
  <si>
    <t xml:space="preserve">User is on Product List page
</t>
  </si>
  <si>
    <t>1. Select a product( Category: Computers / Notebookst / Asus Laptop)
2. Click product detail page
3. Input Quantity( Max: 10.000)
4. Click "Add to Cart" button
5. Check Cart/Mini-cart</t>
  </si>
  <si>
    <t>3.1 Verify that system accepts minimum quantity</t>
  </si>
  <si>
    <t>Qty = 1</t>
  </si>
  <si>
    <t>Product is added to cart successfully.</t>
  </si>
  <si>
    <t>SC-009</t>
  </si>
  <si>
    <t>3.2 Verify that system accepts near lower boundary quantity</t>
  </si>
  <si>
    <t>Qty = 2</t>
  </si>
  <si>
    <t>SC-010</t>
  </si>
  <si>
    <t>3.3 Verify that system accepts valid mid-range quantity</t>
  </si>
  <si>
    <t>Qty = 5000</t>
  </si>
  <si>
    <t>SC-011</t>
  </si>
  <si>
    <t>3.4 Verify that system accepts near upper boundary quantity</t>
  </si>
  <si>
    <t>Qty = 9999</t>
  </si>
  <si>
    <t>SC-012</t>
  </si>
  <si>
    <t>3.5 Verify that system accepts maximum quantity</t>
  </si>
  <si>
    <t>Qty = 10000</t>
  </si>
  <si>
    <t>SC-013</t>
  </si>
  <si>
    <t>3.6 Verify that system shows error when quantity exceeds maximum limit</t>
  </si>
  <si>
    <t>Qty = 10001</t>
  </si>
  <si>
    <t>Error message: "The maximum quantity allowed for purchase is 10000."</t>
  </si>
  <si>
    <t>SC-014</t>
  </si>
  <si>
    <t>3.7 Verify that system shows error when out-of-range quantity</t>
  </si>
  <si>
    <t>Qty = 0</t>
  </si>
  <si>
    <t>Error message: "Quantity should be positive."</t>
  </si>
  <si>
    <t>SC-015</t>
  </si>
  <si>
    <t>3.8 Verify that system shows error when negative quantity</t>
  </si>
  <si>
    <t>Qty = -5</t>
  </si>
  <si>
    <t>SC-016</t>
  </si>
  <si>
    <t>3.9 Verify that system rejects shows error when decimal quantity</t>
  </si>
  <si>
    <t>Qty = 10.5</t>
  </si>
  <si>
    <t>SC-017</t>
  </si>
  <si>
    <t>3.10 Verify that system shows error when non-numeric input</t>
  </si>
  <si>
    <t>Qty = "abc"</t>
  </si>
  <si>
    <t>SC-018</t>
  </si>
  <si>
    <t>3.11 Verify that system shows error when empty quantity input</t>
  </si>
  <si>
    <t>Qty = " "</t>
  </si>
  <si>
    <t>SC-019</t>
  </si>
  <si>
    <t>3.12 Verify that system enforces total cart quantity limit</t>
  </si>
  <si>
    <t>1st Add: 6.000
2nd Add: 5.000</t>
  </si>
  <si>
    <t>The 2nd fails. Error: "The maximum quantity allowed for purchase is 10000."</t>
  </si>
  <si>
    <t>SC-020</t>
  </si>
  <si>
    <t>Rental Date Validation</t>
  </si>
  <si>
    <t>1. Select a product( Category: Jewelry /Elegant Gemstone Necklace (rental))
2. Click product detail page
3. Select Start Date / End Date.
4. Click "Rent".</t>
  </si>
  <si>
    <t>3.1 Verify that user can select valid rental date range</t>
  </si>
  <si>
    <t>Start &lt; End (ex: Start: Today, End: Tomorrow)</t>
  </si>
  <si>
    <t>System accepts dates; Product is added to cart; Rental days calculated correctly.</t>
  </si>
  <si>
    <t>SC-021</t>
  </si>
  <si>
    <t>3.2 Verify that system enforces minimum rental duration</t>
  </si>
  <si>
    <t>Start = End</t>
  </si>
  <si>
    <t>System accepts;The rental fee is calculated 1 day.</t>
  </si>
  <si>
    <t>SC-022</t>
  </si>
  <si>
    <t>3.3Verify that system rejects invalid date range</t>
  </si>
  <si>
    <t xml:space="preserve">Start &gt; End </t>
  </si>
  <si>
    <t>Error: "Rental start date should be less than end date"</t>
  </si>
  <si>
    <t>SC-023</t>
  </si>
  <si>
    <t>3.4 Verify that system rejects past dates</t>
  </si>
  <si>
    <t>Start &lt; Today</t>
  </si>
  <si>
    <t>Error: "Rental start date should be the future date"</t>
  </si>
  <si>
    <t>SC-024</t>
  </si>
  <si>
    <t>3.5 Verify that system requires start and end dates</t>
  </si>
  <si>
    <t>Start= " ", Today= " "</t>
  </si>
  <si>
    <t>Error: "Enter rental start date"</t>
  </si>
  <si>
    <t>SC-025</t>
  </si>
  <si>
    <t>3.6 Verify that system rejects invalid date format</t>
  </si>
  <si>
    <t>mm/dd/yyyy instead of dd/mm/yyyy</t>
  </si>
  <si>
    <t>SC-026</t>
  </si>
  <si>
    <t>3.7 Verify that system rejects non-numeric date input</t>
  </si>
  <si>
    <t>Start= " abc", Today= "abc "</t>
  </si>
  <si>
    <t>System prevents typing non-numeric characters</t>
  </si>
  <si>
    <t>SC-027</t>
  </si>
  <si>
    <t>Donation Price Validation</t>
  </si>
  <si>
    <t>User is on Detail page</t>
  </si>
  <si>
    <t>1. Select a product( Category: Digital downloads / If You Wait (donation))
2. Click product detail page
3. Enter your price.
4. Click "Add to Cart".</t>
  </si>
  <si>
    <t>3.1 Verify that system accepts minimum valid donation price</t>
  </si>
  <si>
    <t>Price: $0.50</t>
  </si>
  <si>
    <t>System accepts; Product added to cart with price $0.50.</t>
  </si>
  <si>
    <t>SC-028</t>
  </si>
  <si>
    <t>3.2 Verify that system accepts valid above minimum price</t>
  </si>
  <si>
    <t>Price: $0.51</t>
  </si>
  <si>
    <t>System accepts; Product added to cart with price $0.51.</t>
  </si>
  <si>
    <t>SC-029</t>
  </si>
  <si>
    <t>3.3 Verify that system rejects below minimum price</t>
  </si>
  <si>
    <t>Price: $0.49</t>
  </si>
  <si>
    <t>Error: "The price must be from $0.50 to $100.00."</t>
  </si>
  <si>
    <t>SC-030</t>
  </si>
  <si>
    <t>3.4 Verify that system accepts valid mid-range price</t>
  </si>
  <si>
    <t>Price: $50.00</t>
  </si>
  <si>
    <t>System accepts; Product added to cart with price $50.00.</t>
  </si>
  <si>
    <t>SC-031</t>
  </si>
  <si>
    <t>3.5 Verify that system accepts maximum valid price</t>
  </si>
  <si>
    <t>Price: $100.00</t>
  </si>
  <si>
    <t>System accepts; Product added to cart with price $100.00.</t>
  </si>
  <si>
    <t>SC-032</t>
  </si>
  <si>
    <t>3.6 Verify that system accepts below maximum valid price</t>
  </si>
  <si>
    <t>Price: $99.99</t>
  </si>
  <si>
    <t>System accepts; Product added to cart with price $99.99.</t>
  </si>
  <si>
    <t>SC-033</t>
  </si>
  <si>
    <t>3.7 Verify that system rejects price exceeding maximum limit</t>
  </si>
  <si>
    <t>Price: $101.00</t>
  </si>
  <si>
    <t>SC-034</t>
  </si>
  <si>
    <t>3.8 Verify that system rejects non-numeric input</t>
  </si>
  <si>
    <t>Price: "abc"</t>
  </si>
  <si>
    <t>SC-035</t>
  </si>
  <si>
    <t>3.9 Verify that system rejects empty input</t>
  </si>
  <si>
    <t>Price: " "</t>
  </si>
  <si>
    <t>SC-036</t>
  </si>
  <si>
    <t>Shopping Cart Quantity Management</t>
  </si>
  <si>
    <t>Product already added to cart</t>
  </si>
  <si>
    <t>1. Open Shopping Cart page
2. Change quantity
3. Click outside quantity field
4. Check Cart/Mini-cart</t>
  </si>
  <si>
    <t>2.1 Verify that user can update shopping cart quantity successfully</t>
  </si>
  <si>
    <t>Product: First Prize Pies
Old Qty: 1
New Qty: 3</t>
  </si>
  <si>
    <t>Quantity updated successfully; Shopping cart quantity displays correctly</t>
  </si>
  <si>
    <t>SC-037</t>
  </si>
  <si>
    <t>4.1 Verify that subtotal and total price are recalculated correctly after quantity update</t>
  </si>
  <si>
    <t>Product: First Prize Pies
Old Qty: 1
New Qty: 5</t>
  </si>
  <si>
    <t>Product subtotal and total cart price recalculated correctly according to updated quantity</t>
  </si>
  <si>
    <t>SC-038</t>
  </si>
  <si>
    <t>Shopping Cart Item Removal</t>
  </si>
  <si>
    <t>1. Open Shopping Cart page
2. Select Remove checkbox for product
3. Check Cart/Mini-cart</t>
  </si>
  <si>
    <t>2.1 Verify that user can remove product from shopping cart successfully</t>
  </si>
  <si>
    <t>Product: First Prize Pies</t>
  </si>
  <si>
    <t>Selected product removed successfully from shopping cart; Cart quantity updated correctly</t>
  </si>
  <si>
    <t>SC-039</t>
  </si>
  <si>
    <t>Mini Cart Sync &amp; Display</t>
  </si>
  <si>
    <t>User is on any page</t>
  </si>
  <si>
    <t>1. Select a product(Category: Books / First Prize Pies)
2. Click "Add to Cart" button
3. Hover over Mini Cart
4. Check Mini-cart</t>
  </si>
  <si>
    <t>1.1 Verify that mini cart is displayed on hover</t>
  </si>
  <si>
    <t>Mini Cart dropdown is displayed correctly when user hovers over Mini Cart</t>
  </si>
  <si>
    <t>SC-040</t>
  </si>
  <si>
    <t>1. Add product to cart( Category: Books / First Prize Pies)
2. Hover over Mini Cart
3. Open Shopping Cart page
4. Compare product information</t>
  </si>
  <si>
    <t>4.1 Verify that Mini Cart information synchronizes correctly with Shopping Cart page</t>
  </si>
  <si>
    <t>Product information in Mini Cart matches Shopping Cart page correctly</t>
  </si>
  <si>
    <t>SC-041</t>
  </si>
  <si>
    <t>1. Add product to cart( Category: Books / First Prize Pies)
2. Open Shopping Cart page
3. Change quantity value
4. Click outside quantity field
5. Hover over Mini Cart
6. Check Mini Cart information</t>
  </si>
  <si>
    <t>6.1 Verify that Mini Cart synchronizes after quantity update</t>
  </si>
  <si>
    <t>Mini Cart quantity and subtotal are updated correctly after quantity change in Shopping Cart</t>
  </si>
  <si>
    <t>SC-042</t>
  </si>
  <si>
    <t>1. Add product to cart( Category: Books / First Prize Pies)
2. Open Shopping Cart page
3. Remove product from cart
4. Hover over Mini Cart
5. Check Mini Cart information</t>
  </si>
  <si>
    <t>5.1 Verify that Mini Cart synchronizes after removing product</t>
  </si>
  <si>
    <t>Removed product no appears in mini cart</t>
  </si>
  <si>
    <t>SC-043</t>
  </si>
  <si>
    <t>Cart is empty</t>
  </si>
  <si>
    <t xml:space="preserve">1. Hover over Mini Cart
2. Check Mini Cart </t>
  </si>
  <si>
    <t>1.1 Verify that mini cart displays empty state correctly</t>
  </si>
  <si>
    <t>No product</t>
  </si>
  <si>
    <t>Message "You have no items in your shopping cart." is displayed</t>
  </si>
  <si>
    <t>Name</t>
  </si>
  <si>
    <t>Total</t>
  </si>
  <si>
    <t>Microsoft Edge</t>
  </si>
  <si>
    <t>Register</t>
  </si>
  <si>
    <t>Search  Product</t>
  </si>
  <si>
    <t>Product Category</t>
  </si>
  <si>
    <t>Add Review</t>
  </si>
  <si>
    <t>Shopping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</si>
</sst>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color rgb="FF000000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sz val="11"/>
      <color theme="1"/>
      <name val="Times New Roman"/>
    </font>
    <font>
      <sz val="11"/>
      <color rgb="FF242424"/>
      <name val="Times New Roman"/>
    </font>
    <font>
      <sz val="10"/>
      <color theme="1"/>
      <name val="Times New Roman"/>
    </font>
    <font>
      <sz val="11"/>
      <color rgb="FF1F1F1F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0"/>
      <name val="Times New Roman"/>
    </font>
    <font>
      <sz val="11"/>
      <color theme="4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63B2DE"/>
        <bgColor rgb="FF63B2DE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E06666"/>
      </patternFill>
    </fill>
    <fill>
      <patternFill patternType="solid">
        <fgColor rgb="FFD0CECE"/>
        <bgColor rgb="FFE0666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Border="1" applyAlignment="1">
      <alignment vertical="top"/>
    </xf>
    <xf numFmtId="0" fontId="2" fillId="0" borderId="0" xfId="0" applyFont="1" applyBorder="1"/>
    <xf numFmtId="0" fontId="2" fillId="0" borderId="0" xfId="0" applyFont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Fill="1" applyBorder="1" applyAlignment="1">
      <alignment vertical="top"/>
    </xf>
    <xf numFmtId="0" fontId="0" fillId="0" borderId="0" xfId="0" applyBorder="1"/>
    <xf numFmtId="0" fontId="5" fillId="0" borderId="3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5" borderId="5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wrapText="1"/>
    </xf>
    <xf numFmtId="0" fontId="7" fillId="5" borderId="3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5" fillId="5" borderId="5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3" xfId="0" applyFont="1" applyBorder="1" applyAlignment="1">
      <alignment vertical="top" wrapText="1"/>
    </xf>
    <xf numFmtId="0" fontId="5" fillId="0" borderId="7" xfId="0" applyFont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/>
    </xf>
    <xf numFmtId="0" fontId="6" fillId="4" borderId="5" xfId="0" applyFont="1" applyFill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/>
    <xf numFmtId="0" fontId="7" fillId="0" borderId="0" xfId="0" applyFont="1"/>
    <xf numFmtId="0" fontId="10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/>
    </xf>
    <xf numFmtId="0" fontId="2" fillId="6" borderId="0" xfId="0" applyFont="1" applyFill="1"/>
    <xf numFmtId="0" fontId="5" fillId="0" borderId="3" xfId="0" applyFont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6" fillId="4" borderId="7" xfId="0" applyFont="1" applyFill="1" applyBorder="1" applyAlignment="1">
      <alignment vertical="top"/>
    </xf>
    <xf numFmtId="0" fontId="6" fillId="6" borderId="7" xfId="0" applyFont="1" applyFill="1" applyBorder="1" applyAlignment="1">
      <alignment vertical="top"/>
    </xf>
    <xf numFmtId="0" fontId="5" fillId="7" borderId="5" xfId="0" applyFont="1" applyFill="1" applyBorder="1" applyAlignment="1">
      <alignment vertical="top"/>
    </xf>
    <xf numFmtId="0" fontId="5" fillId="8" borderId="5" xfId="0" applyFont="1" applyFill="1" applyBorder="1" applyAlignment="1">
      <alignment vertical="top"/>
    </xf>
    <xf numFmtId="0" fontId="7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5" fillId="0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5" xfId="0" applyFont="1" applyBorder="1" applyAlignment="1">
      <alignment horizontal="left" vertical="top"/>
    </xf>
    <xf numFmtId="0" fontId="7" fillId="6" borderId="0" xfId="0" applyFont="1" applyFill="1" applyBorder="1"/>
    <xf numFmtId="0" fontId="9" fillId="0" borderId="5" xfId="0" applyFont="1" applyBorder="1"/>
    <xf numFmtId="0" fontId="7" fillId="0" borderId="5" xfId="0" applyFont="1" applyBorder="1"/>
    <xf numFmtId="0" fontId="14" fillId="3" borderId="5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9" xfId="0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 wrapText="1"/>
    </xf>
    <xf numFmtId="0" fontId="9" fillId="0" borderId="8" xfId="0" applyFont="1" applyBorder="1"/>
    <xf numFmtId="0" fontId="6" fillId="4" borderId="5" xfId="0" applyFont="1" applyFill="1" applyBorder="1" applyAlignment="1">
      <alignment vertical="top"/>
    </xf>
    <xf numFmtId="0" fontId="6" fillId="4" borderId="9" xfId="0" applyFont="1" applyFill="1" applyBorder="1" applyAlignment="1">
      <alignment vertical="top"/>
    </xf>
    <xf numFmtId="0" fontId="6" fillId="4" borderId="10" xfId="0" applyFont="1" applyFill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left" vertical="top"/>
    </xf>
    <xf numFmtId="0" fontId="7" fillId="0" borderId="5" xfId="0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0" borderId="5" xfId="0" applyFont="1" applyBorder="1" applyAlignment="1">
      <alignment vertical="top"/>
    </xf>
    <xf numFmtId="0" fontId="7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4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vertical="top"/>
    </xf>
    <xf numFmtId="0" fontId="7" fillId="0" borderId="5" xfId="0" applyFont="1" applyFill="1" applyBorder="1" applyAlignment="1">
      <alignment vertical="top"/>
    </xf>
    <xf numFmtId="0" fontId="7" fillId="0" borderId="8" xfId="0" applyFont="1" applyFill="1" applyBorder="1" applyAlignment="1">
      <alignment vertical="top" wrapText="1"/>
    </xf>
    <xf numFmtId="0" fontId="7" fillId="0" borderId="5" xfId="0" applyFont="1" applyFill="1" applyBorder="1" applyAlignment="1">
      <alignment vertical="top" wrapText="1"/>
    </xf>
    <xf numFmtId="0" fontId="7" fillId="0" borderId="8" xfId="0" applyFont="1" applyBorder="1" applyAlignment="1">
      <alignment vertical="top"/>
    </xf>
    <xf numFmtId="0" fontId="12" fillId="0" borderId="5" xfId="0" applyFont="1" applyBorder="1" applyAlignment="1">
      <alignment horizontal="center"/>
    </xf>
    <xf numFmtId="0" fontId="7" fillId="0" borderId="5" xfId="0" applyFont="1" applyFill="1" applyBorder="1" applyAlignment="1">
      <alignment horizontal="left" vertical="top"/>
    </xf>
    <xf numFmtId="0" fontId="7" fillId="0" borderId="5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6" borderId="8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6" borderId="8" xfId="0" applyFont="1" applyFill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vertical="top"/>
    </xf>
    <xf numFmtId="0" fontId="7" fillId="0" borderId="5" xfId="0" applyFont="1" applyBorder="1" applyAlignment="1">
      <alignment vertical="top" wrapText="1"/>
    </xf>
    <xf numFmtId="0" fontId="7" fillId="0" borderId="5" xfId="0" applyFont="1" applyFill="1" applyBorder="1" applyAlignment="1">
      <alignment vertical="top"/>
    </xf>
    <xf numFmtId="0" fontId="7" fillId="0" borderId="8" xfId="0" applyFont="1" applyFill="1" applyBorder="1" applyAlignment="1">
      <alignment vertical="top" wrapText="1"/>
    </xf>
    <xf numFmtId="0" fontId="7" fillId="0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 wrapText="1"/>
    </xf>
    <xf numFmtId="0" fontId="8" fillId="0" borderId="5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/>
    </xf>
    <xf numFmtId="0" fontId="4" fillId="2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8" fillId="0" borderId="5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/>
    </xf>
    <xf numFmtId="0" fontId="7" fillId="0" borderId="5" xfId="0" applyFont="1" applyBorder="1" applyAlignment="1"/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/>
  </cellXfs>
  <cellStyles count="1">
    <cellStyle name="Bình thường" xfId="0" builtinId="0"/>
  </cellStyles>
  <dxfs count="48">
    <dxf>
      <font>
        <color rgb="FF9C0006"/>
      </font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Register - Chrome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64-42D6-BE84-16F8562A6E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64-42D6-BE84-16F8562A6E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64-42D6-BE84-16F8562A6E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Summary!$C$2:$E$2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Summary!$C$3:$E$3</c:f>
              <c:numCache>
                <c:formatCode>General</c:formatCode>
                <c:ptCount val="3"/>
                <c:pt idx="0">
                  <c:v>18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C-4F72-A6B7-C9BF230525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Search Product - Chrome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D5-4EC5-A9BC-0E619E017B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D5-4EC5-A9BC-0E619E017B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D5-4EC5-A9BC-0E619E017B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Summary!$C$2:$E$2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Summary!$C$4:$E$4</c:f>
              <c:numCache>
                <c:formatCode>General</c:formatCode>
                <c:ptCount val="3"/>
                <c:pt idx="0">
                  <c:v>25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D-4617-8C24-EC736AFE4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 - Chrome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36-4FAD-852B-56B2EFF1E1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36-4FAD-852B-56B2EFF1E1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36-4FAD-852B-56B2EFF1E1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Summary!$C$2:$E$2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Summary!$C$5:$E$5</c:f>
              <c:numCache>
                <c:formatCode>General</c:formatCode>
                <c:ptCount val="3"/>
                <c:pt idx="0">
                  <c:v>29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76-46D8-9B13-314F1158F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Add Review - Chrome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6A-4D2F-85D0-4336A7F150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5D-4E61-A170-ED53BFB3B2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6A-4D2F-85D0-4336A7F15094}"/>
              </c:ext>
            </c:extLst>
          </c:dPt>
          <c:dLbls>
            <c:dLbl>
              <c:idx val="1"/>
              <c:layout>
                <c:manualLayout>
                  <c:x val="-0.15497789261785391"/>
                  <c:y val="-3.178404782735480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5D-4E61-A170-ED53BFB3B2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Summary!$C$2:$E$2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Summary!$C$6:$E$6</c:f>
              <c:numCache>
                <c:formatCode>General</c:formatCode>
                <c:ptCount val="3"/>
                <c:pt idx="0">
                  <c:v>15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5D-4E61-A170-ED53BFB3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Shopping Cart - Chrome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6E-41EB-9825-698F933AED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6E-41EB-9825-698F933AED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6E-41EB-9825-698F933AED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Summary!$C$2:$E$2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Summary!$C$7:$E$7</c:f>
              <c:numCache>
                <c:formatCode>General</c:formatCode>
                <c:ptCount val="3"/>
                <c:pt idx="0">
                  <c:v>43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0-4C5B-8C9D-1B7795451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152400</xdr:rowOff>
    </xdr:from>
    <xdr:to>
      <xdr:col>5</xdr:col>
      <xdr:colOff>485775</xdr:colOff>
      <xdr:row>23</xdr:row>
      <xdr:rowOff>38100</xdr:rowOff>
    </xdr:to>
    <xdr:graphicFrame macro="">
      <xdr:nvGraphicFramePr>
        <xdr:cNvPr id="4" name="Biểu đồ 3">
          <a:extLst>
            <a:ext uri="{FF2B5EF4-FFF2-40B4-BE49-F238E27FC236}">
              <a16:creationId xmlns:a16="http://schemas.microsoft.com/office/drawing/2014/main" id="{E9F0E686-FAA9-6F7B-363A-62E46B71C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504825</xdr:colOff>
      <xdr:row>8</xdr:row>
      <xdr:rowOff>152400</xdr:rowOff>
    </xdr:from>
    <xdr:to>
      <xdr:col>13</xdr:col>
      <xdr:colOff>200025</xdr:colOff>
      <xdr:row>23</xdr:row>
      <xdr:rowOff>38100</xdr:rowOff>
    </xdr:to>
    <xdr:graphicFrame macro="">
      <xdr:nvGraphicFramePr>
        <xdr:cNvPr id="6" name="Biểu đồ 5">
          <a:extLst>
            <a:ext uri="{FF2B5EF4-FFF2-40B4-BE49-F238E27FC236}">
              <a16:creationId xmlns:a16="http://schemas.microsoft.com/office/drawing/2014/main" id="{56152FDB-DC86-899C-3D30-D9121486FFDF}"/>
            </a:ext>
            <a:ext uri="{147F2762-F138-4A5C-976F-8EAC2B608ADB}">
              <a16:predDERef xmlns:a16="http://schemas.microsoft.com/office/drawing/2014/main" pred="{E9F0E686-FAA9-6F7B-363A-62E46B71C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495300</xdr:colOff>
      <xdr:row>23</xdr:row>
      <xdr:rowOff>57150</xdr:rowOff>
    </xdr:from>
    <xdr:to>
      <xdr:col>13</xdr:col>
      <xdr:colOff>190500</xdr:colOff>
      <xdr:row>37</xdr:row>
      <xdr:rowOff>133350</xdr:rowOff>
    </xdr:to>
    <xdr:graphicFrame macro="">
      <xdr:nvGraphicFramePr>
        <xdr:cNvPr id="3" name="Biểu đồ 2">
          <a:extLst>
            <a:ext uri="{FF2B5EF4-FFF2-40B4-BE49-F238E27FC236}">
              <a16:creationId xmlns:a16="http://schemas.microsoft.com/office/drawing/2014/main" id="{5D2B9940-DABD-F297-8BBD-79CC0C8BCFD1}"/>
            </a:ext>
            <a:ext uri="{147F2762-F138-4A5C-976F-8EAC2B608ADB}">
              <a16:predDERef xmlns:a16="http://schemas.microsoft.com/office/drawing/2014/main" pred="{56152FDB-DC86-899C-3D30-D9121486F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257175</xdr:colOff>
      <xdr:row>16</xdr:row>
      <xdr:rowOff>171450</xdr:rowOff>
    </xdr:from>
    <xdr:to>
      <xdr:col>20</xdr:col>
      <xdr:colOff>561975</xdr:colOff>
      <xdr:row>31</xdr:row>
      <xdr:rowOff>57150</xdr:rowOff>
    </xdr:to>
    <xdr:graphicFrame macro="">
      <xdr:nvGraphicFramePr>
        <xdr:cNvPr id="5" name="Biểu đồ 6">
          <a:extLst>
            <a:ext uri="{FF2B5EF4-FFF2-40B4-BE49-F238E27FC236}">
              <a16:creationId xmlns:a16="http://schemas.microsoft.com/office/drawing/2014/main" id="{5D110598-1651-D2B2-709E-37E8CBD4A8C2}"/>
            </a:ext>
            <a:ext uri="{147F2762-F138-4A5C-976F-8EAC2B608ADB}">
              <a16:predDERef xmlns:a16="http://schemas.microsoft.com/office/drawing/2014/main" pred="{5D2B9940-DABD-F297-8BBD-79CC0C8BC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23</xdr:row>
      <xdr:rowOff>57150</xdr:rowOff>
    </xdr:from>
    <xdr:to>
      <xdr:col>5</xdr:col>
      <xdr:colOff>485775</xdr:colOff>
      <xdr:row>37</xdr:row>
      <xdr:rowOff>133350</xdr:rowOff>
    </xdr:to>
    <xdr:graphicFrame macro="">
      <xdr:nvGraphicFramePr>
        <xdr:cNvPr id="8" name="Biểu đồ 7">
          <a:extLst>
            <a:ext uri="{FF2B5EF4-FFF2-40B4-BE49-F238E27FC236}">
              <a16:creationId xmlns:a16="http://schemas.microsoft.com/office/drawing/2014/main" id="{0D95BE7C-22C8-82C0-A6D6-DBB69E310A28}"/>
            </a:ext>
            <a:ext uri="{147F2762-F138-4A5C-976F-8EAC2B608ADB}">
              <a16:predDERef xmlns:a16="http://schemas.microsoft.com/office/drawing/2014/main" pred="{5D110598-1651-D2B2-709E-37E8CBD4A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opLeftCell="A10" workbookViewId="0">
      <selection activeCell="E8" sqref="E8"/>
    </sheetView>
  </sheetViews>
  <sheetFormatPr defaultRowHeight="14.25"/>
  <cols>
    <col min="1" max="1" width="9.140625" style="3"/>
    <col min="2" max="2" width="25.5703125" style="3" customWidth="1"/>
    <col min="3" max="3" width="22.42578125" style="3" customWidth="1"/>
    <col min="4" max="4" width="31.7109375" style="3" customWidth="1"/>
    <col min="5" max="5" width="36.85546875" style="3" customWidth="1"/>
    <col min="6" max="6" width="30.85546875" style="3" customWidth="1"/>
    <col min="7" max="7" width="9.140625" style="3"/>
    <col min="8" max="8" width="25" style="3" customWidth="1"/>
    <col min="9" max="9" width="9" style="3" customWidth="1"/>
    <col min="10" max="10" width="10.140625" style="3" customWidth="1"/>
    <col min="11" max="11" width="9.140625" style="3"/>
    <col min="12" max="12" width="14.7109375" style="3" bestFit="1" customWidth="1"/>
    <col min="13" max="13" width="9.140625" style="3"/>
    <col min="14" max="14" width="25.42578125" style="3" customWidth="1"/>
    <col min="15" max="16384" width="9.140625" style="3"/>
  </cols>
  <sheetData>
    <row r="1" spans="1:14">
      <c r="A1" s="90" t="s">
        <v>0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111" t="s">
        <v>7</v>
      </c>
      <c r="I1" s="112" t="s">
        <v>8</v>
      </c>
      <c r="J1" s="112"/>
      <c r="K1" s="113" t="s">
        <v>9</v>
      </c>
      <c r="L1" s="90" t="s">
        <v>10</v>
      </c>
      <c r="M1" s="90" t="s">
        <v>11</v>
      </c>
      <c r="N1" s="90" t="s">
        <v>12</v>
      </c>
    </row>
    <row r="2" spans="1:14" ht="28.5">
      <c r="A2" s="97"/>
      <c r="B2" s="97"/>
      <c r="C2" s="97"/>
      <c r="D2" s="97"/>
      <c r="E2" s="97"/>
      <c r="F2" s="97"/>
      <c r="G2" s="97"/>
      <c r="H2" s="97"/>
      <c r="I2" s="67" t="s">
        <v>13</v>
      </c>
      <c r="J2" s="67" t="s">
        <v>14</v>
      </c>
      <c r="K2" s="97"/>
      <c r="L2" s="97"/>
      <c r="M2" s="97"/>
      <c r="N2" s="97"/>
    </row>
    <row r="3" spans="1:14" ht="75.75">
      <c r="A3" s="9" t="s">
        <v>15</v>
      </c>
      <c r="B3" s="10" t="s">
        <v>16</v>
      </c>
      <c r="C3" s="10" t="s">
        <v>17</v>
      </c>
      <c r="D3" s="76" t="s">
        <v>18</v>
      </c>
      <c r="E3" s="76" t="s">
        <v>19</v>
      </c>
      <c r="F3" s="10" t="s">
        <v>20</v>
      </c>
      <c r="G3" s="11" t="s">
        <v>21</v>
      </c>
      <c r="H3" s="10" t="s">
        <v>22</v>
      </c>
      <c r="I3" s="24" t="s">
        <v>23</v>
      </c>
      <c r="J3" s="25" t="s">
        <v>23</v>
      </c>
      <c r="K3" s="76"/>
      <c r="L3" s="76"/>
      <c r="M3" s="76"/>
      <c r="N3" s="76"/>
    </row>
    <row r="4" spans="1:14" s="38" customFormat="1" ht="86.25" customHeight="1">
      <c r="A4" s="9" t="s">
        <v>24</v>
      </c>
      <c r="B4" s="108" t="s">
        <v>25</v>
      </c>
      <c r="C4" s="115" t="s">
        <v>17</v>
      </c>
      <c r="D4" s="108" t="s">
        <v>26</v>
      </c>
      <c r="E4" s="72" t="s">
        <v>27</v>
      </c>
      <c r="F4" s="72" t="s">
        <v>28</v>
      </c>
      <c r="G4" s="72" t="s">
        <v>29</v>
      </c>
      <c r="H4" s="115" t="s">
        <v>30</v>
      </c>
      <c r="I4" s="24" t="s">
        <v>23</v>
      </c>
      <c r="J4" s="25" t="s">
        <v>23</v>
      </c>
      <c r="K4" s="13"/>
      <c r="L4" s="13"/>
      <c r="M4" s="13"/>
      <c r="N4" s="13"/>
    </row>
    <row r="5" spans="1:14" s="38" customFormat="1" ht="90.75">
      <c r="A5" s="9" t="s">
        <v>31</v>
      </c>
      <c r="B5" s="114"/>
      <c r="C5" s="116"/>
      <c r="D5" s="114"/>
      <c r="E5" s="72" t="s">
        <v>32</v>
      </c>
      <c r="F5" s="72" t="s">
        <v>33</v>
      </c>
      <c r="G5" s="72" t="s">
        <v>29</v>
      </c>
      <c r="H5" s="116"/>
      <c r="I5" s="24" t="s">
        <v>23</v>
      </c>
      <c r="J5" s="25" t="s">
        <v>23</v>
      </c>
      <c r="K5" s="13"/>
      <c r="L5" s="13"/>
      <c r="M5" s="13"/>
      <c r="N5" s="13"/>
    </row>
    <row r="6" spans="1:14" s="38" customFormat="1" ht="90.75">
      <c r="A6" s="9" t="s">
        <v>34</v>
      </c>
      <c r="B6" s="109"/>
      <c r="C6" s="117"/>
      <c r="D6" s="109"/>
      <c r="E6" s="72" t="s">
        <v>35</v>
      </c>
      <c r="F6" s="72" t="s">
        <v>36</v>
      </c>
      <c r="G6" s="72" t="s">
        <v>29</v>
      </c>
      <c r="H6" s="117"/>
      <c r="I6" s="24" t="s">
        <v>23</v>
      </c>
      <c r="J6" s="25" t="s">
        <v>23</v>
      </c>
      <c r="K6" s="13"/>
      <c r="L6" s="13"/>
      <c r="M6" s="13"/>
      <c r="N6" s="13"/>
    </row>
    <row r="7" spans="1:14" ht="75.75">
      <c r="A7" s="9" t="s">
        <v>37</v>
      </c>
      <c r="B7" s="92" t="s">
        <v>38</v>
      </c>
      <c r="C7" s="92" t="s">
        <v>17</v>
      </c>
      <c r="D7" s="92" t="s">
        <v>39</v>
      </c>
      <c r="E7" s="71" t="s">
        <v>40</v>
      </c>
      <c r="F7" s="71" t="s">
        <v>41</v>
      </c>
      <c r="G7" s="54" t="s">
        <v>21</v>
      </c>
      <c r="H7" s="71" t="s">
        <v>42</v>
      </c>
      <c r="I7" s="24" t="s">
        <v>23</v>
      </c>
      <c r="J7" s="24" t="s">
        <v>23</v>
      </c>
      <c r="K7" s="14"/>
      <c r="L7" s="14"/>
      <c r="M7" s="14"/>
      <c r="N7" s="14"/>
    </row>
    <row r="8" spans="1:14" ht="75.75">
      <c r="A8" s="9" t="s">
        <v>43</v>
      </c>
      <c r="B8" s="92"/>
      <c r="C8" s="92"/>
      <c r="D8" s="92"/>
      <c r="E8" s="71" t="s">
        <v>44</v>
      </c>
      <c r="F8" s="71" t="s">
        <v>45</v>
      </c>
      <c r="G8" s="15" t="s">
        <v>46</v>
      </c>
      <c r="H8" s="93" t="s">
        <v>47</v>
      </c>
      <c r="I8" s="26" t="s">
        <v>48</v>
      </c>
      <c r="J8" s="26" t="s">
        <v>48</v>
      </c>
      <c r="K8" s="14"/>
      <c r="L8" s="14"/>
      <c r="M8" s="14"/>
      <c r="N8" s="14"/>
    </row>
    <row r="9" spans="1:14" ht="75.75">
      <c r="A9" s="9" t="s">
        <v>49</v>
      </c>
      <c r="B9" s="92"/>
      <c r="C9" s="92"/>
      <c r="D9" s="92"/>
      <c r="E9" s="71" t="s">
        <v>50</v>
      </c>
      <c r="F9" s="71" t="s">
        <v>51</v>
      </c>
      <c r="G9" s="15" t="s">
        <v>46</v>
      </c>
      <c r="H9" s="95"/>
      <c r="I9" s="26" t="s">
        <v>48</v>
      </c>
      <c r="J9" s="26" t="s">
        <v>48</v>
      </c>
      <c r="K9" s="14"/>
      <c r="L9" s="14"/>
      <c r="M9" s="14"/>
      <c r="N9" s="14"/>
    </row>
    <row r="10" spans="1:14" ht="75.75">
      <c r="A10" s="9" t="s">
        <v>52</v>
      </c>
      <c r="B10" s="92"/>
      <c r="C10" s="92"/>
      <c r="D10" s="92"/>
      <c r="E10" s="71" t="s">
        <v>53</v>
      </c>
      <c r="F10" s="71" t="s">
        <v>54</v>
      </c>
      <c r="G10" s="15" t="s">
        <v>46</v>
      </c>
      <c r="H10" s="96"/>
      <c r="I10" s="26" t="s">
        <v>48</v>
      </c>
      <c r="J10" s="26" t="s">
        <v>48</v>
      </c>
      <c r="K10" s="16"/>
      <c r="L10" s="16"/>
      <c r="M10" s="16"/>
      <c r="N10" s="16"/>
    </row>
    <row r="11" spans="1:14" ht="75.75">
      <c r="A11" s="9" t="s">
        <v>55</v>
      </c>
      <c r="B11" s="92" t="s">
        <v>56</v>
      </c>
      <c r="C11" s="92" t="s">
        <v>17</v>
      </c>
      <c r="D11" s="92" t="s">
        <v>57</v>
      </c>
      <c r="E11" s="71" t="s">
        <v>58</v>
      </c>
      <c r="F11" s="71" t="s">
        <v>59</v>
      </c>
      <c r="G11" s="11" t="s">
        <v>21</v>
      </c>
      <c r="H11" s="71" t="s">
        <v>60</v>
      </c>
      <c r="I11" s="24" t="s">
        <v>23</v>
      </c>
      <c r="J11" s="24" t="s">
        <v>23</v>
      </c>
      <c r="K11" s="14"/>
      <c r="L11" s="14"/>
      <c r="M11" s="14"/>
      <c r="N11" s="14"/>
    </row>
    <row r="12" spans="1:14" ht="75.75">
      <c r="A12" s="9" t="s">
        <v>61</v>
      </c>
      <c r="B12" s="92"/>
      <c r="C12" s="92"/>
      <c r="D12" s="92"/>
      <c r="E12" s="71" t="s">
        <v>62</v>
      </c>
      <c r="F12" s="71" t="s">
        <v>63</v>
      </c>
      <c r="G12" s="15" t="s">
        <v>46</v>
      </c>
      <c r="H12" s="93" t="s">
        <v>47</v>
      </c>
      <c r="I12" s="69" t="s">
        <v>48</v>
      </c>
      <c r="J12" s="69" t="s">
        <v>48</v>
      </c>
      <c r="K12" s="14"/>
      <c r="L12" s="14"/>
      <c r="M12" s="14"/>
      <c r="N12" s="14"/>
    </row>
    <row r="13" spans="1:14" ht="75.75">
      <c r="A13" s="9" t="s">
        <v>64</v>
      </c>
      <c r="B13" s="92"/>
      <c r="C13" s="92"/>
      <c r="D13" s="92"/>
      <c r="E13" s="71" t="s">
        <v>65</v>
      </c>
      <c r="F13" s="71" t="s">
        <v>66</v>
      </c>
      <c r="G13" s="15" t="s">
        <v>46</v>
      </c>
      <c r="H13" s="95"/>
      <c r="I13" s="69" t="s">
        <v>48</v>
      </c>
      <c r="J13" s="69" t="s">
        <v>48</v>
      </c>
      <c r="K13" s="14"/>
      <c r="L13" s="14"/>
      <c r="M13" s="14"/>
      <c r="N13" s="14"/>
    </row>
    <row r="14" spans="1:14" ht="75.75">
      <c r="A14" s="9" t="s">
        <v>67</v>
      </c>
      <c r="B14" s="92"/>
      <c r="C14" s="92"/>
      <c r="D14" s="92"/>
      <c r="E14" s="71" t="s">
        <v>68</v>
      </c>
      <c r="F14" s="71" t="s">
        <v>69</v>
      </c>
      <c r="G14" s="15" t="s">
        <v>46</v>
      </c>
      <c r="H14" s="96"/>
      <c r="I14" s="69" t="s">
        <v>48</v>
      </c>
      <c r="J14" s="69" t="s">
        <v>48</v>
      </c>
      <c r="K14" s="14"/>
      <c r="L14" s="14"/>
      <c r="M14" s="14"/>
      <c r="N14" s="14"/>
    </row>
    <row r="15" spans="1:14" ht="75.75">
      <c r="A15" s="9" t="s">
        <v>70</v>
      </c>
      <c r="B15" s="92" t="s">
        <v>71</v>
      </c>
      <c r="C15" s="118" t="s">
        <v>17</v>
      </c>
      <c r="D15" s="92" t="s">
        <v>72</v>
      </c>
      <c r="E15" s="71" t="s">
        <v>73</v>
      </c>
      <c r="F15" s="71" t="s">
        <v>74</v>
      </c>
      <c r="G15" s="11" t="s">
        <v>21</v>
      </c>
      <c r="H15" s="64" t="s">
        <v>75</v>
      </c>
      <c r="I15" s="24" t="s">
        <v>23</v>
      </c>
      <c r="J15" s="24" t="s">
        <v>23</v>
      </c>
      <c r="K15" s="14"/>
      <c r="L15" s="14"/>
      <c r="M15" s="14"/>
      <c r="N15" s="14"/>
    </row>
    <row r="16" spans="1:14" ht="75.75">
      <c r="A16" s="9" t="s">
        <v>76</v>
      </c>
      <c r="B16" s="92"/>
      <c r="C16" s="118"/>
      <c r="D16" s="92"/>
      <c r="E16" s="71" t="s">
        <v>77</v>
      </c>
      <c r="F16" s="71" t="s">
        <v>78</v>
      </c>
      <c r="G16" s="17" t="s">
        <v>21</v>
      </c>
      <c r="H16" s="93" t="s">
        <v>79</v>
      </c>
      <c r="I16" s="27" t="s">
        <v>23</v>
      </c>
      <c r="J16" s="24" t="s">
        <v>23</v>
      </c>
      <c r="K16" s="14"/>
      <c r="L16" s="14"/>
      <c r="M16" s="14"/>
      <c r="N16" s="14"/>
    </row>
    <row r="17" spans="1:14" ht="75.75">
      <c r="A17" s="9" t="s">
        <v>80</v>
      </c>
      <c r="B17" s="92"/>
      <c r="C17" s="118"/>
      <c r="D17" s="92"/>
      <c r="E17" s="71" t="s">
        <v>81</v>
      </c>
      <c r="F17" s="71" t="s">
        <v>82</v>
      </c>
      <c r="G17" s="17" t="s">
        <v>21</v>
      </c>
      <c r="H17" s="95"/>
      <c r="I17" s="27" t="s">
        <v>23</v>
      </c>
      <c r="J17" s="24" t="s">
        <v>23</v>
      </c>
      <c r="K17" s="14"/>
      <c r="L17" s="14"/>
      <c r="M17" s="14"/>
      <c r="N17" s="14"/>
    </row>
    <row r="18" spans="1:14" ht="75.75">
      <c r="A18" s="9" t="s">
        <v>83</v>
      </c>
      <c r="B18" s="92"/>
      <c r="C18" s="118"/>
      <c r="D18" s="92"/>
      <c r="E18" s="71" t="s">
        <v>84</v>
      </c>
      <c r="F18" s="71" t="s">
        <v>85</v>
      </c>
      <c r="G18" s="17" t="s">
        <v>21</v>
      </c>
      <c r="H18" s="95"/>
      <c r="I18" s="27" t="s">
        <v>23</v>
      </c>
      <c r="J18" s="24" t="s">
        <v>23</v>
      </c>
      <c r="K18" s="14"/>
      <c r="L18" s="14"/>
      <c r="M18" s="14"/>
      <c r="N18" s="14"/>
    </row>
    <row r="19" spans="1:14" ht="75.75">
      <c r="A19" s="9" t="s">
        <v>86</v>
      </c>
      <c r="B19" s="92"/>
      <c r="C19" s="118"/>
      <c r="D19" s="92"/>
      <c r="E19" s="71" t="s">
        <v>87</v>
      </c>
      <c r="F19" s="71" t="s">
        <v>88</v>
      </c>
      <c r="G19" s="17" t="s">
        <v>21</v>
      </c>
      <c r="H19" s="95"/>
      <c r="I19" s="27" t="s">
        <v>48</v>
      </c>
      <c r="J19" s="24" t="s">
        <v>48</v>
      </c>
      <c r="K19" s="14"/>
      <c r="L19" s="14"/>
      <c r="M19" s="14"/>
      <c r="N19" s="14"/>
    </row>
    <row r="20" spans="1:14" ht="81" customHeight="1">
      <c r="A20" s="9" t="s">
        <v>89</v>
      </c>
      <c r="B20" s="92"/>
      <c r="C20" s="118"/>
      <c r="D20" s="92"/>
      <c r="E20" s="71" t="s">
        <v>90</v>
      </c>
      <c r="F20" s="71" t="s">
        <v>91</v>
      </c>
      <c r="G20" s="19" t="s">
        <v>21</v>
      </c>
      <c r="H20" s="96"/>
      <c r="I20" s="24" t="s">
        <v>48</v>
      </c>
      <c r="J20" s="24" t="s">
        <v>48</v>
      </c>
      <c r="K20" s="14"/>
      <c r="L20" s="14"/>
      <c r="M20" s="14"/>
      <c r="N20" s="14"/>
    </row>
    <row r="21" spans="1:14" ht="75.75">
      <c r="A21" s="9" t="s">
        <v>92</v>
      </c>
      <c r="B21" s="92"/>
      <c r="C21" s="118"/>
      <c r="D21" s="92"/>
      <c r="E21" s="71" t="s">
        <v>93</v>
      </c>
      <c r="F21" s="71" t="s">
        <v>94</v>
      </c>
      <c r="G21" s="11" t="s">
        <v>21</v>
      </c>
      <c r="H21" s="71" t="s">
        <v>95</v>
      </c>
      <c r="I21" s="24" t="s">
        <v>23</v>
      </c>
      <c r="J21" s="24" t="s">
        <v>23</v>
      </c>
      <c r="K21" s="14"/>
      <c r="L21" s="14"/>
      <c r="M21" s="14"/>
      <c r="N21" s="14"/>
    </row>
    <row r="22" spans="1:14" s="38" customFormat="1" ht="75.75">
      <c r="A22" s="9" t="s">
        <v>96</v>
      </c>
      <c r="B22" s="110" t="s">
        <v>97</v>
      </c>
      <c r="C22" s="110" t="s">
        <v>17</v>
      </c>
      <c r="D22" s="110" t="s">
        <v>98</v>
      </c>
      <c r="E22" s="72" t="s">
        <v>99</v>
      </c>
      <c r="F22" s="72" t="s">
        <v>100</v>
      </c>
      <c r="G22" s="20" t="s">
        <v>21</v>
      </c>
      <c r="H22" s="72" t="s">
        <v>101</v>
      </c>
      <c r="I22" s="24" t="s">
        <v>23</v>
      </c>
      <c r="J22" s="24" t="s">
        <v>23</v>
      </c>
      <c r="K22" s="13"/>
      <c r="L22" s="13"/>
      <c r="M22" s="13"/>
      <c r="N22" s="13"/>
    </row>
    <row r="23" spans="1:14" s="38" customFormat="1" ht="75.75">
      <c r="A23" s="9" t="s">
        <v>102</v>
      </c>
      <c r="B23" s="110"/>
      <c r="C23" s="110"/>
      <c r="D23" s="110"/>
      <c r="E23" s="72" t="s">
        <v>103</v>
      </c>
      <c r="F23" s="72" t="s">
        <v>104</v>
      </c>
      <c r="G23" s="20" t="s">
        <v>21</v>
      </c>
      <c r="H23" s="108" t="s">
        <v>105</v>
      </c>
      <c r="I23" s="24" t="s">
        <v>23</v>
      </c>
      <c r="J23" s="24" t="s">
        <v>23</v>
      </c>
      <c r="K23" s="13"/>
      <c r="L23" s="13"/>
      <c r="M23" s="13"/>
      <c r="N23" s="13"/>
    </row>
    <row r="24" spans="1:14" s="38" customFormat="1" ht="75.75">
      <c r="A24" s="9" t="s">
        <v>106</v>
      </c>
      <c r="B24" s="110"/>
      <c r="C24" s="110"/>
      <c r="D24" s="110"/>
      <c r="E24" s="72" t="s">
        <v>107</v>
      </c>
      <c r="F24" s="72" t="s">
        <v>108</v>
      </c>
      <c r="G24" s="72" t="s">
        <v>46</v>
      </c>
      <c r="H24" s="109"/>
      <c r="I24" s="24" t="s">
        <v>23</v>
      </c>
      <c r="J24" s="24" t="s">
        <v>23</v>
      </c>
      <c r="K24" s="13"/>
      <c r="L24" s="13"/>
      <c r="M24" s="13"/>
      <c r="N24" s="13"/>
    </row>
    <row r="25" spans="1:14" s="38" customFormat="1" ht="72" customHeight="1">
      <c r="A25" s="9" t="s">
        <v>109</v>
      </c>
      <c r="B25" s="110" t="s">
        <v>110</v>
      </c>
      <c r="C25" s="110" t="s">
        <v>17</v>
      </c>
      <c r="D25" s="110" t="s">
        <v>111</v>
      </c>
      <c r="E25" s="72" t="s">
        <v>112</v>
      </c>
      <c r="F25" s="72" t="s">
        <v>113</v>
      </c>
      <c r="G25" s="20" t="s">
        <v>21</v>
      </c>
      <c r="H25" s="108" t="s">
        <v>101</v>
      </c>
      <c r="I25" s="24" t="s">
        <v>23</v>
      </c>
      <c r="J25" s="24" t="s">
        <v>23</v>
      </c>
      <c r="K25" s="13"/>
      <c r="L25" s="13"/>
      <c r="M25" s="13"/>
      <c r="N25" s="13"/>
    </row>
    <row r="26" spans="1:14" s="38" customFormat="1" ht="75.75">
      <c r="A26" s="9" t="s">
        <v>114</v>
      </c>
      <c r="B26" s="110"/>
      <c r="C26" s="110"/>
      <c r="D26" s="110"/>
      <c r="E26" s="72" t="s">
        <v>115</v>
      </c>
      <c r="F26" s="72" t="s">
        <v>116</v>
      </c>
      <c r="G26" s="20" t="s">
        <v>21</v>
      </c>
      <c r="H26" s="109"/>
      <c r="I26" s="24" t="s">
        <v>23</v>
      </c>
      <c r="J26" s="24" t="s">
        <v>23</v>
      </c>
      <c r="K26" s="13"/>
      <c r="L26" s="13"/>
      <c r="M26" s="13"/>
      <c r="N26" s="13"/>
    </row>
    <row r="27" spans="1:14" ht="75.75">
      <c r="A27" s="9" t="s">
        <v>117</v>
      </c>
      <c r="B27" s="64" t="s">
        <v>118</v>
      </c>
      <c r="C27" s="71" t="s">
        <v>17</v>
      </c>
      <c r="D27" s="71" t="s">
        <v>119</v>
      </c>
      <c r="E27" s="64" t="s">
        <v>120</v>
      </c>
      <c r="F27" s="71" t="s">
        <v>20</v>
      </c>
      <c r="G27" s="15" t="s">
        <v>46</v>
      </c>
      <c r="H27" s="71" t="s">
        <v>121</v>
      </c>
      <c r="I27" s="24" t="s">
        <v>23</v>
      </c>
      <c r="J27" s="24" t="s">
        <v>23</v>
      </c>
      <c r="K27" s="14"/>
      <c r="L27" s="14"/>
      <c r="M27" s="14"/>
      <c r="N27" s="14"/>
    </row>
    <row r="28" spans="1:14" ht="73.5" customHeight="1">
      <c r="A28" s="9" t="s">
        <v>122</v>
      </c>
      <c r="B28" s="71" t="s">
        <v>123</v>
      </c>
      <c r="C28" s="21" t="s">
        <v>17</v>
      </c>
      <c r="D28" s="22" t="s">
        <v>124</v>
      </c>
      <c r="E28" s="74" t="s">
        <v>125</v>
      </c>
      <c r="F28" s="23" t="s">
        <v>20</v>
      </c>
      <c r="G28" s="15" t="s">
        <v>46</v>
      </c>
      <c r="H28" s="71" t="s">
        <v>126</v>
      </c>
      <c r="I28" s="24" t="s">
        <v>23</v>
      </c>
      <c r="J28" s="24" t="s">
        <v>23</v>
      </c>
      <c r="K28" s="14"/>
      <c r="L28" s="14"/>
      <c r="M28" s="14"/>
      <c r="N28" s="14"/>
    </row>
    <row r="29" spans="1:14">
      <c r="A29" s="1"/>
    </row>
    <row r="30" spans="1:14">
      <c r="A30" s="1"/>
    </row>
  </sheetData>
  <mergeCells count="37">
    <mergeCell ref="B22:B24"/>
    <mergeCell ref="C22:C24"/>
    <mergeCell ref="D22:D24"/>
    <mergeCell ref="B7:B10"/>
    <mergeCell ref="C7:C10"/>
    <mergeCell ref="D7:D10"/>
    <mergeCell ref="B11:B14"/>
    <mergeCell ref="C11:C14"/>
    <mergeCell ref="B15:B21"/>
    <mergeCell ref="C15:C21"/>
    <mergeCell ref="D15:D21"/>
    <mergeCell ref="B25:B26"/>
    <mergeCell ref="C25:C26"/>
    <mergeCell ref="D25:D26"/>
    <mergeCell ref="D11:D14"/>
    <mergeCell ref="N1:N2"/>
    <mergeCell ref="G1:G2"/>
    <mergeCell ref="H1:H2"/>
    <mergeCell ref="I1:J1"/>
    <mergeCell ref="K1:K2"/>
    <mergeCell ref="L1:L2"/>
    <mergeCell ref="M1:M2"/>
    <mergeCell ref="F1:F2"/>
    <mergeCell ref="B4:B6"/>
    <mergeCell ref="C4:C6"/>
    <mergeCell ref="D4:D6"/>
    <mergeCell ref="H4:H6"/>
    <mergeCell ref="A1:A2"/>
    <mergeCell ref="B1:B2"/>
    <mergeCell ref="C1:C2"/>
    <mergeCell ref="D1:D2"/>
    <mergeCell ref="E1:E2"/>
    <mergeCell ref="H8:H10"/>
    <mergeCell ref="H12:H14"/>
    <mergeCell ref="H23:H24"/>
    <mergeCell ref="H25:H26"/>
    <mergeCell ref="H16:H20"/>
  </mergeCells>
  <conditionalFormatting sqref="G1:G1048576">
    <cfRule type="containsText" dxfId="47" priority="6" operator="containsText" text="High">
      <formula>NOT(ISERROR(SEARCH("High",G1)))</formula>
    </cfRule>
  </conditionalFormatting>
  <conditionalFormatting sqref="G1:G1048576">
    <cfRule type="containsText" dxfId="46" priority="5" operator="containsText" text="Medium">
      <formula>NOT(ISERROR(SEARCH("Medium",G1)))</formula>
    </cfRule>
  </conditionalFormatting>
  <conditionalFormatting sqref="G1:G1048576">
    <cfRule type="containsText" dxfId="45" priority="4" operator="containsText" text="Low">
      <formula>NOT(ISERROR(SEARCH("Low",G1)))</formula>
    </cfRule>
  </conditionalFormatting>
  <conditionalFormatting sqref="I1:I1048576 J15:J28 I14:J14 J7:J13">
    <cfRule type="containsText" dxfId="44" priority="3" operator="containsText" text="Passed">
      <formula>NOT(ISERROR(SEARCH("Passed",I1)))</formula>
    </cfRule>
  </conditionalFormatting>
  <conditionalFormatting sqref="I1:J1048576">
    <cfRule type="containsText" dxfId="43" priority="2" operator="containsText" text="Failed">
      <formula>NOT(ISERROR(SEARCH("Failed",I1)))</formula>
    </cfRule>
  </conditionalFormatting>
  <conditionalFormatting sqref="I1:J1048576">
    <cfRule type="containsText" dxfId="42" priority="1" operator="containsText" text="Un-test">
      <formula>NOT(ISERROR(SEARCH("Un-test",I1)))</formula>
    </cfRule>
  </conditionalFormatting>
  <dataValidations count="3">
    <dataValidation type="list" allowBlank="1" showInputMessage="1" showErrorMessage="1" sqref="G3 G11 G15 G21:G23 G25:G26 G7" xr:uid="{141468B0-0F59-4ED3-A0B7-57A812D8CC87}">
      <formula1>"High, Medium, Low"</formula1>
    </dataValidation>
    <dataValidation type="list" allowBlank="1" showInputMessage="1" showErrorMessage="1" sqref="G4:G5 G8:G10 G12:G14 G16:G20 G24 G27:G28" xr:uid="{80D3CBFD-6CAD-4896-A096-1193533E707B}">
      <formula1>"High, Medium,Low"</formula1>
    </dataValidation>
    <dataValidation type="list" allowBlank="1" showInputMessage="1" showErrorMessage="1" sqref="I1:J1048576" xr:uid="{9C00807F-0A79-4C09-9979-3ADFE294A143}">
      <formula1>"Passed, Failed, Un-test"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1E02-7BE2-4668-8154-42A5348FAE06}">
  <dimension ref="A1:N28"/>
  <sheetViews>
    <sheetView tabSelected="1" topLeftCell="C19" workbookViewId="0">
      <selection activeCell="C16" sqref="C16:C22"/>
    </sheetView>
  </sheetViews>
  <sheetFormatPr defaultRowHeight="15"/>
  <cols>
    <col min="2" max="2" width="32.5703125" customWidth="1"/>
    <col min="3" max="3" width="27.85546875" bestFit="1" customWidth="1"/>
    <col min="4" max="4" width="28.85546875" customWidth="1"/>
    <col min="5" max="5" width="36.5703125" bestFit="1" customWidth="1"/>
    <col min="6" max="6" width="25.5703125" customWidth="1"/>
    <col min="7" max="7" width="12.42578125" customWidth="1"/>
    <col min="8" max="8" width="27.42578125" customWidth="1"/>
    <col min="9" max="9" width="11.140625" customWidth="1"/>
    <col min="10" max="10" width="17.140625" customWidth="1"/>
    <col min="12" max="12" width="14.7109375" bestFit="1" customWidth="1"/>
  </cols>
  <sheetData>
    <row r="1" spans="1:14">
      <c r="A1" s="88" t="s">
        <v>0</v>
      </c>
      <c r="B1" s="90" t="s">
        <v>1</v>
      </c>
      <c r="C1" s="88" t="s">
        <v>2</v>
      </c>
      <c r="D1" s="88" t="s">
        <v>3</v>
      </c>
      <c r="E1" s="90" t="s">
        <v>4</v>
      </c>
      <c r="F1" s="88" t="s">
        <v>5</v>
      </c>
      <c r="G1" s="88" t="s">
        <v>6</v>
      </c>
      <c r="H1" s="90" t="s">
        <v>7</v>
      </c>
      <c r="I1" s="98" t="s">
        <v>8</v>
      </c>
      <c r="J1" s="99"/>
      <c r="K1" s="88" t="s">
        <v>9</v>
      </c>
      <c r="L1" s="88" t="s">
        <v>10</v>
      </c>
      <c r="M1" s="88" t="s">
        <v>11</v>
      </c>
      <c r="N1" s="88" t="s">
        <v>12</v>
      </c>
    </row>
    <row r="2" spans="1:14">
      <c r="A2" s="89"/>
      <c r="B2" s="89"/>
      <c r="C2" s="89"/>
      <c r="D2" s="89"/>
      <c r="E2" s="97"/>
      <c r="F2" s="89"/>
      <c r="G2" s="89"/>
      <c r="H2" s="97"/>
      <c r="I2" s="65" t="s">
        <v>13</v>
      </c>
      <c r="J2" s="65" t="s">
        <v>14</v>
      </c>
      <c r="K2" s="89"/>
      <c r="L2" s="89"/>
      <c r="M2" s="89"/>
      <c r="N2" s="89"/>
    </row>
    <row r="3" spans="1:14" ht="54.75" customHeight="1">
      <c r="A3" s="80" t="s">
        <v>127</v>
      </c>
      <c r="B3" s="94" t="s">
        <v>128</v>
      </c>
      <c r="C3" s="102" t="s">
        <v>129</v>
      </c>
      <c r="D3" s="105" t="s">
        <v>130</v>
      </c>
      <c r="E3" s="71" t="s">
        <v>131</v>
      </c>
      <c r="F3" s="70" t="s">
        <v>132</v>
      </c>
      <c r="G3" s="28" t="s">
        <v>21</v>
      </c>
      <c r="H3" s="71" t="s">
        <v>133</v>
      </c>
      <c r="I3" s="29" t="s">
        <v>23</v>
      </c>
      <c r="J3" s="29" t="s">
        <v>23</v>
      </c>
      <c r="K3" s="30"/>
      <c r="L3" s="30"/>
      <c r="M3" s="30"/>
      <c r="N3" s="30"/>
    </row>
    <row r="4" spans="1:14" ht="58.5" customHeight="1">
      <c r="A4" s="80" t="s">
        <v>134</v>
      </c>
      <c r="B4" s="100"/>
      <c r="C4" s="103"/>
      <c r="D4" s="106"/>
      <c r="E4" s="71" t="s">
        <v>135</v>
      </c>
      <c r="F4" s="70" t="s">
        <v>136</v>
      </c>
      <c r="G4" s="28" t="s">
        <v>21</v>
      </c>
      <c r="H4" s="71" t="s">
        <v>133</v>
      </c>
      <c r="I4" s="29" t="s">
        <v>23</v>
      </c>
      <c r="J4" s="29" t="s">
        <v>23</v>
      </c>
      <c r="K4" s="30"/>
      <c r="L4" s="30"/>
      <c r="M4" s="30"/>
      <c r="N4" s="30"/>
    </row>
    <row r="5" spans="1:14" ht="42.75" customHeight="1">
      <c r="A5" s="80" t="s">
        <v>137</v>
      </c>
      <c r="B5" s="100"/>
      <c r="C5" s="103"/>
      <c r="D5" s="106"/>
      <c r="E5" s="71" t="s">
        <v>138</v>
      </c>
      <c r="F5" s="70" t="s">
        <v>139</v>
      </c>
      <c r="G5" s="28" t="s">
        <v>21</v>
      </c>
      <c r="H5" s="71" t="s">
        <v>140</v>
      </c>
      <c r="I5" s="29" t="s">
        <v>23</v>
      </c>
      <c r="J5" s="29" t="s">
        <v>23</v>
      </c>
      <c r="K5" s="30"/>
      <c r="L5" s="30"/>
      <c r="M5" s="30"/>
      <c r="N5" s="30"/>
    </row>
    <row r="6" spans="1:14" ht="42.75" customHeight="1">
      <c r="A6" s="80" t="s">
        <v>141</v>
      </c>
      <c r="B6" s="100"/>
      <c r="C6" s="103"/>
      <c r="D6" s="106"/>
      <c r="E6" s="71" t="s">
        <v>142</v>
      </c>
      <c r="F6" s="70" t="s">
        <v>143</v>
      </c>
      <c r="G6" s="28" t="s">
        <v>21</v>
      </c>
      <c r="H6" s="71" t="s">
        <v>140</v>
      </c>
      <c r="I6" s="29" t="s">
        <v>23</v>
      </c>
      <c r="J6" s="29" t="s">
        <v>23</v>
      </c>
      <c r="K6" s="30"/>
      <c r="L6" s="30"/>
      <c r="M6" s="30"/>
      <c r="N6" s="30"/>
    </row>
    <row r="7" spans="1:14" ht="42.75" customHeight="1">
      <c r="A7" s="80" t="s">
        <v>144</v>
      </c>
      <c r="B7" s="100"/>
      <c r="C7" s="103"/>
      <c r="D7" s="106"/>
      <c r="E7" s="71" t="s">
        <v>145</v>
      </c>
      <c r="F7" s="70" t="s">
        <v>146</v>
      </c>
      <c r="G7" s="28" t="s">
        <v>21</v>
      </c>
      <c r="H7" s="71" t="s">
        <v>147</v>
      </c>
      <c r="I7" s="29" t="s">
        <v>23</v>
      </c>
      <c r="J7" s="29" t="s">
        <v>23</v>
      </c>
      <c r="K7" s="30"/>
      <c r="L7" s="30"/>
      <c r="M7" s="30"/>
      <c r="N7" s="30"/>
    </row>
    <row r="8" spans="1:14" ht="30" customHeight="1">
      <c r="A8" s="80" t="s">
        <v>148</v>
      </c>
      <c r="B8" s="100"/>
      <c r="C8" s="103"/>
      <c r="D8" s="106"/>
      <c r="E8" s="71" t="s">
        <v>149</v>
      </c>
      <c r="F8" s="70" t="s">
        <v>150</v>
      </c>
      <c r="G8" s="28" t="s">
        <v>21</v>
      </c>
      <c r="H8" s="71" t="s">
        <v>147</v>
      </c>
      <c r="I8" s="29" t="s">
        <v>23</v>
      </c>
      <c r="J8" s="29" t="s">
        <v>23</v>
      </c>
      <c r="K8" s="31"/>
      <c r="L8" s="31"/>
      <c r="M8" s="31"/>
      <c r="N8" s="31"/>
    </row>
    <row r="9" spans="1:14" ht="45.75">
      <c r="A9" s="80" t="s">
        <v>151</v>
      </c>
      <c r="B9" s="100"/>
      <c r="C9" s="103"/>
      <c r="D9" s="106"/>
      <c r="E9" s="71" t="s">
        <v>152</v>
      </c>
      <c r="F9" s="70" t="s">
        <v>153</v>
      </c>
      <c r="G9" s="28" t="s">
        <v>21</v>
      </c>
      <c r="H9" s="71" t="s">
        <v>154</v>
      </c>
      <c r="I9" s="29" t="s">
        <v>23</v>
      </c>
      <c r="J9" s="29" t="s">
        <v>23</v>
      </c>
      <c r="K9" s="32"/>
      <c r="L9" s="32"/>
      <c r="M9" s="32"/>
      <c r="N9" s="32"/>
    </row>
    <row r="10" spans="1:14" ht="30">
      <c r="A10" s="80" t="s">
        <v>155</v>
      </c>
      <c r="B10" s="100"/>
      <c r="C10" s="103"/>
      <c r="D10" s="106"/>
      <c r="E10" s="71" t="s">
        <v>156</v>
      </c>
      <c r="F10" s="70" t="s">
        <v>157</v>
      </c>
      <c r="G10" s="28" t="s">
        <v>46</v>
      </c>
      <c r="H10" s="71" t="s">
        <v>158</v>
      </c>
      <c r="I10" s="29" t="s">
        <v>23</v>
      </c>
      <c r="J10" s="29" t="s">
        <v>23</v>
      </c>
      <c r="K10" s="32"/>
      <c r="L10" s="32"/>
      <c r="M10" s="32"/>
      <c r="N10" s="32"/>
    </row>
    <row r="11" spans="1:14" ht="45.75">
      <c r="A11" s="80" t="s">
        <v>159</v>
      </c>
      <c r="B11" s="100"/>
      <c r="C11" s="103"/>
      <c r="D11" s="106"/>
      <c r="E11" s="71" t="s">
        <v>160</v>
      </c>
      <c r="F11" s="70" t="s">
        <v>161</v>
      </c>
      <c r="G11" s="28" t="s">
        <v>46</v>
      </c>
      <c r="H11" s="71" t="s">
        <v>162</v>
      </c>
      <c r="I11" s="29" t="s">
        <v>23</v>
      </c>
      <c r="J11" s="29" t="s">
        <v>23</v>
      </c>
      <c r="K11" s="32"/>
      <c r="L11" s="32"/>
      <c r="M11" s="32"/>
      <c r="N11" s="32"/>
    </row>
    <row r="12" spans="1:14" ht="30">
      <c r="A12" s="80" t="s">
        <v>163</v>
      </c>
      <c r="B12" s="101"/>
      <c r="C12" s="104"/>
      <c r="D12" s="107"/>
      <c r="E12" s="33" t="s">
        <v>164</v>
      </c>
      <c r="F12" s="34" t="s">
        <v>165</v>
      </c>
      <c r="G12" s="28" t="s">
        <v>46</v>
      </c>
      <c r="H12" s="33" t="s">
        <v>166</v>
      </c>
      <c r="I12" s="29" t="s">
        <v>23</v>
      </c>
      <c r="J12" s="29" t="s">
        <v>23</v>
      </c>
      <c r="K12" s="32"/>
      <c r="L12" s="32"/>
      <c r="M12" s="32"/>
      <c r="N12" s="32"/>
    </row>
    <row r="13" spans="1:14" ht="28.5" customHeight="1">
      <c r="A13" s="80" t="s">
        <v>167</v>
      </c>
      <c r="B13" s="70" t="s">
        <v>168</v>
      </c>
      <c r="C13" s="35" t="s">
        <v>129</v>
      </c>
      <c r="D13" s="74" t="s">
        <v>169</v>
      </c>
      <c r="E13" s="74" t="s">
        <v>170</v>
      </c>
      <c r="F13" s="70" t="s">
        <v>171</v>
      </c>
      <c r="G13" s="28" t="s">
        <v>46</v>
      </c>
      <c r="H13" s="70" t="s">
        <v>172</v>
      </c>
      <c r="I13" s="29" t="s">
        <v>23</v>
      </c>
      <c r="J13" s="29" t="s">
        <v>23</v>
      </c>
      <c r="K13" s="32"/>
      <c r="L13" s="32"/>
      <c r="M13" s="32"/>
      <c r="N13" s="32"/>
    </row>
    <row r="14" spans="1:14" ht="30">
      <c r="A14" s="80" t="s">
        <v>173</v>
      </c>
      <c r="B14" s="91" t="s">
        <v>174</v>
      </c>
      <c r="C14" s="91" t="s">
        <v>175</v>
      </c>
      <c r="D14" s="92" t="s">
        <v>176</v>
      </c>
      <c r="E14" s="71" t="s">
        <v>177</v>
      </c>
      <c r="F14" s="70" t="s">
        <v>178</v>
      </c>
      <c r="G14" s="28" t="s">
        <v>21</v>
      </c>
      <c r="H14" s="71" t="s">
        <v>179</v>
      </c>
      <c r="I14" s="29" t="s">
        <v>23</v>
      </c>
      <c r="J14" s="29" t="s">
        <v>23</v>
      </c>
      <c r="K14" s="32"/>
      <c r="L14" s="32"/>
      <c r="M14" s="32"/>
      <c r="N14" s="32"/>
    </row>
    <row r="15" spans="1:14" ht="30">
      <c r="A15" s="80" t="s">
        <v>180</v>
      </c>
      <c r="B15" s="91"/>
      <c r="C15" s="91"/>
      <c r="D15" s="92"/>
      <c r="E15" s="71" t="s">
        <v>181</v>
      </c>
      <c r="F15" s="70" t="s">
        <v>182</v>
      </c>
      <c r="G15" s="28" t="s">
        <v>46</v>
      </c>
      <c r="H15" s="70" t="s">
        <v>183</v>
      </c>
      <c r="I15" s="29" t="s">
        <v>23</v>
      </c>
      <c r="J15" s="29" t="s">
        <v>23</v>
      </c>
      <c r="K15" s="32"/>
      <c r="L15" s="32"/>
      <c r="M15" s="32"/>
      <c r="N15" s="32"/>
    </row>
    <row r="16" spans="1:14" ht="37.5" customHeight="1">
      <c r="A16" s="80" t="s">
        <v>184</v>
      </c>
      <c r="B16" s="94" t="s">
        <v>185</v>
      </c>
      <c r="C16" s="94" t="s">
        <v>175</v>
      </c>
      <c r="D16" s="93" t="s">
        <v>186</v>
      </c>
      <c r="E16" s="71" t="s">
        <v>187</v>
      </c>
      <c r="F16" s="71" t="s">
        <v>188</v>
      </c>
      <c r="G16" s="28" t="s">
        <v>21</v>
      </c>
      <c r="H16" s="71" t="s">
        <v>189</v>
      </c>
      <c r="I16" s="29" t="s">
        <v>23</v>
      </c>
      <c r="J16" s="29" t="s">
        <v>23</v>
      </c>
      <c r="K16" s="32"/>
      <c r="L16" s="32"/>
      <c r="M16" s="32"/>
      <c r="N16" s="32"/>
    </row>
    <row r="17" spans="1:14" ht="30">
      <c r="A17" s="80" t="s">
        <v>190</v>
      </c>
      <c r="B17" s="100"/>
      <c r="C17" s="100"/>
      <c r="D17" s="95"/>
      <c r="E17" s="71" t="s">
        <v>191</v>
      </c>
      <c r="F17" s="71" t="s">
        <v>192</v>
      </c>
      <c r="G17" s="28" t="s">
        <v>21</v>
      </c>
      <c r="H17" s="71" t="s">
        <v>193</v>
      </c>
      <c r="I17" s="29" t="s">
        <v>23</v>
      </c>
      <c r="J17" s="29" t="s">
        <v>23</v>
      </c>
      <c r="K17" s="32"/>
      <c r="L17" s="32"/>
      <c r="M17" s="32"/>
      <c r="N17" s="32"/>
    </row>
    <row r="18" spans="1:14" ht="60.75">
      <c r="A18" s="80" t="s">
        <v>194</v>
      </c>
      <c r="B18" s="100"/>
      <c r="C18" s="100"/>
      <c r="D18" s="95"/>
      <c r="E18" s="71" t="s">
        <v>195</v>
      </c>
      <c r="F18" s="71" t="s">
        <v>196</v>
      </c>
      <c r="G18" s="28" t="s">
        <v>21</v>
      </c>
      <c r="H18" s="64" t="s">
        <v>197</v>
      </c>
      <c r="I18" s="29" t="s">
        <v>23</v>
      </c>
      <c r="J18" s="29" t="s">
        <v>23</v>
      </c>
      <c r="K18" s="32"/>
      <c r="L18" s="32"/>
      <c r="M18" s="32"/>
      <c r="N18" s="32"/>
    </row>
    <row r="19" spans="1:14" ht="45.75">
      <c r="A19" s="80" t="s">
        <v>198</v>
      </c>
      <c r="B19" s="100"/>
      <c r="C19" s="100"/>
      <c r="D19" s="95"/>
      <c r="E19" s="71" t="s">
        <v>199</v>
      </c>
      <c r="F19" s="71" t="s">
        <v>200</v>
      </c>
      <c r="G19" s="28" t="s">
        <v>21</v>
      </c>
      <c r="H19" s="71" t="s">
        <v>201</v>
      </c>
      <c r="I19" s="29" t="s">
        <v>23</v>
      </c>
      <c r="J19" s="29" t="s">
        <v>23</v>
      </c>
      <c r="K19" s="32"/>
      <c r="L19" s="32"/>
      <c r="M19" s="32"/>
      <c r="N19" s="32"/>
    </row>
    <row r="20" spans="1:14" ht="30">
      <c r="A20" s="80" t="s">
        <v>202</v>
      </c>
      <c r="B20" s="100"/>
      <c r="C20" s="100"/>
      <c r="D20" s="95"/>
      <c r="E20" s="71" t="s">
        <v>203</v>
      </c>
      <c r="F20" s="71" t="s">
        <v>204</v>
      </c>
      <c r="G20" s="28" t="s">
        <v>21</v>
      </c>
      <c r="H20" s="93" t="s">
        <v>154</v>
      </c>
      <c r="I20" s="29" t="s">
        <v>23</v>
      </c>
      <c r="J20" s="29" t="s">
        <v>23</v>
      </c>
      <c r="K20" s="32"/>
      <c r="L20" s="32"/>
      <c r="M20" s="32"/>
      <c r="N20" s="32"/>
    </row>
    <row r="21" spans="1:14" ht="45.75">
      <c r="A21" s="80" t="s">
        <v>205</v>
      </c>
      <c r="B21" s="100"/>
      <c r="C21" s="100"/>
      <c r="D21" s="95"/>
      <c r="E21" s="71" t="s">
        <v>206</v>
      </c>
      <c r="F21" s="71" t="s">
        <v>207</v>
      </c>
      <c r="G21" s="28" t="s">
        <v>21</v>
      </c>
      <c r="H21" s="95"/>
      <c r="I21" s="29" t="s">
        <v>23</v>
      </c>
      <c r="J21" s="29" t="s">
        <v>23</v>
      </c>
      <c r="K21" s="32"/>
      <c r="L21" s="32"/>
      <c r="M21" s="32"/>
      <c r="N21" s="32"/>
    </row>
    <row r="22" spans="1:14" ht="45.75">
      <c r="A22" s="80" t="s">
        <v>208</v>
      </c>
      <c r="B22" s="101"/>
      <c r="C22" s="101"/>
      <c r="D22" s="96"/>
      <c r="E22" s="71" t="s">
        <v>209</v>
      </c>
      <c r="F22" s="71" t="s">
        <v>210</v>
      </c>
      <c r="G22" s="28" t="s">
        <v>21</v>
      </c>
      <c r="H22" s="96"/>
      <c r="I22" s="29" t="s">
        <v>23</v>
      </c>
      <c r="J22" s="29" t="s">
        <v>23</v>
      </c>
      <c r="K22" s="32"/>
      <c r="L22" s="32"/>
      <c r="M22" s="32"/>
      <c r="N22" s="32"/>
    </row>
    <row r="23" spans="1:14" ht="45.75">
      <c r="A23" s="80" t="s">
        <v>211</v>
      </c>
      <c r="B23" s="91" t="s">
        <v>212</v>
      </c>
      <c r="C23" s="91" t="s">
        <v>175</v>
      </c>
      <c r="D23" s="92" t="s">
        <v>213</v>
      </c>
      <c r="E23" s="71" t="s">
        <v>214</v>
      </c>
      <c r="F23" s="71" t="s">
        <v>215</v>
      </c>
      <c r="G23" s="28" t="s">
        <v>29</v>
      </c>
      <c r="H23" s="71" t="s">
        <v>216</v>
      </c>
      <c r="I23" s="29" t="s">
        <v>23</v>
      </c>
      <c r="J23" s="29" t="s">
        <v>23</v>
      </c>
      <c r="K23" s="32"/>
      <c r="L23" s="32"/>
      <c r="M23" s="32"/>
      <c r="N23" s="32"/>
    </row>
    <row r="24" spans="1:14" ht="45.75">
      <c r="A24" s="80" t="s">
        <v>217</v>
      </c>
      <c r="B24" s="94"/>
      <c r="C24" s="94"/>
      <c r="D24" s="93"/>
      <c r="E24" s="64" t="s">
        <v>218</v>
      </c>
      <c r="F24" s="64" t="s">
        <v>219</v>
      </c>
      <c r="G24" s="36" t="s">
        <v>29</v>
      </c>
      <c r="H24" s="64" t="s">
        <v>220</v>
      </c>
      <c r="I24" s="29" t="s">
        <v>23</v>
      </c>
      <c r="J24" s="29" t="s">
        <v>23</v>
      </c>
      <c r="K24" s="32"/>
      <c r="L24" s="32"/>
      <c r="M24" s="32"/>
      <c r="N24" s="32"/>
    </row>
    <row r="25" spans="1:14" ht="45.75">
      <c r="A25" s="80" t="s">
        <v>221</v>
      </c>
      <c r="B25" s="86" t="s">
        <v>222</v>
      </c>
      <c r="C25" s="87" t="s">
        <v>223</v>
      </c>
      <c r="D25" s="87" t="s">
        <v>224</v>
      </c>
      <c r="E25" s="69" t="s">
        <v>225</v>
      </c>
      <c r="F25" s="68" t="s">
        <v>226</v>
      </c>
      <c r="G25" s="37" t="s">
        <v>46</v>
      </c>
      <c r="H25" s="69" t="s">
        <v>227</v>
      </c>
      <c r="I25" s="29" t="s">
        <v>23</v>
      </c>
      <c r="J25" s="29" t="s">
        <v>23</v>
      </c>
      <c r="K25" s="32"/>
      <c r="L25" s="32"/>
      <c r="M25" s="32"/>
      <c r="N25" s="32"/>
    </row>
    <row r="26" spans="1:14" ht="45.75">
      <c r="A26" s="80" t="s">
        <v>228</v>
      </c>
      <c r="B26" s="86"/>
      <c r="C26" s="86"/>
      <c r="D26" s="87"/>
      <c r="E26" s="69" t="s">
        <v>229</v>
      </c>
      <c r="F26" s="69" t="s">
        <v>230</v>
      </c>
      <c r="G26" s="37" t="s">
        <v>46</v>
      </c>
      <c r="H26" s="69" t="s">
        <v>231</v>
      </c>
      <c r="I26" s="29" t="s">
        <v>23</v>
      </c>
      <c r="J26" s="29" t="s">
        <v>23</v>
      </c>
      <c r="K26" s="32"/>
      <c r="L26" s="32"/>
      <c r="M26" s="32"/>
      <c r="N26" s="32"/>
    </row>
    <row r="27" spans="1:14" ht="45.75">
      <c r="A27" s="80" t="s">
        <v>232</v>
      </c>
      <c r="B27" s="86"/>
      <c r="C27" s="86"/>
      <c r="D27" s="87"/>
      <c r="E27" s="69" t="s">
        <v>233</v>
      </c>
      <c r="F27" s="68" t="s">
        <v>234</v>
      </c>
      <c r="G27" s="37" t="s">
        <v>46</v>
      </c>
      <c r="H27" s="69" t="s">
        <v>235</v>
      </c>
      <c r="I27" s="29" t="s">
        <v>23</v>
      </c>
      <c r="J27" s="29" t="s">
        <v>23</v>
      </c>
      <c r="K27" s="32"/>
      <c r="L27" s="32"/>
      <c r="M27" s="32"/>
      <c r="N27" s="32"/>
    </row>
    <row r="28" spans="1:14">
      <c r="I28" s="4"/>
      <c r="J28" s="4"/>
    </row>
  </sheetData>
  <mergeCells count="29">
    <mergeCell ref="H20:H22"/>
    <mergeCell ref="F1:F2"/>
    <mergeCell ref="B16:B22"/>
    <mergeCell ref="C16:C22"/>
    <mergeCell ref="E1:E2"/>
    <mergeCell ref="B3:B12"/>
    <mergeCell ref="C3:C12"/>
    <mergeCell ref="D3:D12"/>
    <mergeCell ref="N1:N2"/>
    <mergeCell ref="G1:G2"/>
    <mergeCell ref="H1:H2"/>
    <mergeCell ref="I1:J1"/>
    <mergeCell ref="K1:K2"/>
    <mergeCell ref="L1:L2"/>
    <mergeCell ref="M1:M2"/>
    <mergeCell ref="B25:B27"/>
    <mergeCell ref="C25:C27"/>
    <mergeCell ref="D25:D27"/>
    <mergeCell ref="A1:A2"/>
    <mergeCell ref="B1:B2"/>
    <mergeCell ref="C1:C2"/>
    <mergeCell ref="D1:D2"/>
    <mergeCell ref="B14:B15"/>
    <mergeCell ref="C14:C15"/>
    <mergeCell ref="D14:D15"/>
    <mergeCell ref="D23:D24"/>
    <mergeCell ref="C23:C24"/>
    <mergeCell ref="B23:B24"/>
    <mergeCell ref="D16:D22"/>
  </mergeCells>
  <conditionalFormatting sqref="G1:G24">
    <cfRule type="containsText" dxfId="41" priority="9" operator="containsText" text="High">
      <formula>NOT(ISERROR(SEARCH("High",G1)))</formula>
    </cfRule>
  </conditionalFormatting>
  <conditionalFormatting sqref="G1:G24">
    <cfRule type="containsText" dxfId="40" priority="8" operator="containsText" text="Medium">
      <formula>NOT(ISERROR(SEARCH("Medium",G1)))</formula>
    </cfRule>
  </conditionalFormatting>
  <conditionalFormatting sqref="G1:G24">
    <cfRule type="containsText" dxfId="39" priority="7" operator="containsText" text="Low">
      <formula>NOT(ISERROR(SEARCH("Low",G1)))</formula>
    </cfRule>
  </conditionalFormatting>
  <conditionalFormatting sqref="I1:I28">
    <cfRule type="containsText" dxfId="38" priority="6" operator="containsText" text="Passed">
      <formula>NOT(ISERROR(SEARCH("Passed",I1)))</formula>
    </cfRule>
  </conditionalFormatting>
  <conditionalFormatting sqref="I1:J28">
    <cfRule type="containsText" dxfId="37" priority="5" operator="containsText" text="Failed">
      <formula>NOT(ISERROR(SEARCH("Failed",I1)))</formula>
    </cfRule>
  </conditionalFormatting>
  <conditionalFormatting sqref="I1:J28">
    <cfRule type="containsText" dxfId="36" priority="4" operator="containsText" text="Un-test">
      <formula>NOT(ISERROR(SEARCH("Un-test",I1)))</formula>
    </cfRule>
  </conditionalFormatting>
  <conditionalFormatting sqref="G25:G27">
    <cfRule type="containsText" dxfId="35" priority="3" operator="containsText" text="High">
      <formula>NOT(ISERROR(SEARCH("High",G25)))</formula>
    </cfRule>
  </conditionalFormatting>
  <conditionalFormatting sqref="G25:G27">
    <cfRule type="containsText" dxfId="34" priority="2" operator="containsText" text="Medium">
      <formula>NOT(ISERROR(SEARCH("Medium",G25)))</formula>
    </cfRule>
  </conditionalFormatting>
  <conditionalFormatting sqref="G25:G27">
    <cfRule type="containsText" dxfId="33" priority="1" operator="containsText" text="Low">
      <formula>NOT(ISERROR(SEARCH("Low",G25)))</formula>
    </cfRule>
  </conditionalFormatting>
  <dataValidations count="2">
    <dataValidation type="list" allowBlank="1" showInputMessage="1" showErrorMessage="1" sqref="I1:J28" xr:uid="{E26DB06A-00EC-403C-9D22-D590BDE6E933}">
      <formula1>"Passed, Failed, Un-test"</formula1>
    </dataValidation>
    <dataValidation type="list" allowBlank="1" showInputMessage="1" showErrorMessage="1" sqref="G3:G27" xr:uid="{5C7567A8-309B-437A-AC88-F26B011BFA11}">
      <formula1>"High, Medium, 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BF5D-8B66-4394-9632-1CD5586B8B91}">
  <dimension ref="A1:N33"/>
  <sheetViews>
    <sheetView topLeftCell="A26" workbookViewId="0">
      <selection activeCell="C11" sqref="C11:C15"/>
    </sheetView>
  </sheetViews>
  <sheetFormatPr defaultRowHeight="14.25"/>
  <cols>
    <col min="1" max="1" width="9.140625" style="3"/>
    <col min="2" max="2" width="29.85546875" style="3" customWidth="1"/>
    <col min="3" max="3" width="22" style="3" customWidth="1"/>
    <col min="4" max="4" width="30.42578125" style="3" customWidth="1"/>
    <col min="5" max="5" width="27.28515625" style="3" customWidth="1"/>
    <col min="6" max="6" width="21.140625" style="3" customWidth="1"/>
    <col min="7" max="7" width="13.5703125" style="3" customWidth="1"/>
    <col min="8" max="8" width="31.42578125" style="3" customWidth="1"/>
    <col min="9" max="9" width="9.140625" style="3"/>
    <col min="10" max="10" width="16.28515625" style="3" bestFit="1" customWidth="1"/>
    <col min="11" max="11" width="9.140625" style="3"/>
    <col min="12" max="12" width="17.7109375" style="3" bestFit="1" customWidth="1"/>
    <col min="13" max="16384" width="9.140625" style="3"/>
  </cols>
  <sheetData>
    <row r="1" spans="1:14">
      <c r="A1" s="124" t="s">
        <v>0</v>
      </c>
      <c r="B1" s="125" t="s">
        <v>1</v>
      </c>
      <c r="C1" s="124" t="s">
        <v>2</v>
      </c>
      <c r="D1" s="124" t="s">
        <v>3</v>
      </c>
      <c r="E1" s="125" t="s">
        <v>4</v>
      </c>
      <c r="F1" s="124" t="s">
        <v>5</v>
      </c>
      <c r="G1" s="124" t="s">
        <v>6</v>
      </c>
      <c r="H1" s="125" t="s">
        <v>7</v>
      </c>
      <c r="I1" s="129" t="s">
        <v>8</v>
      </c>
      <c r="J1" s="129"/>
      <c r="K1" s="130" t="s">
        <v>9</v>
      </c>
      <c r="L1" s="88" t="s">
        <v>10</v>
      </c>
      <c r="M1" s="88" t="s">
        <v>11</v>
      </c>
      <c r="N1" s="88" t="s">
        <v>12</v>
      </c>
    </row>
    <row r="2" spans="1:14">
      <c r="A2" s="124"/>
      <c r="B2" s="125"/>
      <c r="C2" s="124"/>
      <c r="D2" s="124"/>
      <c r="E2" s="125"/>
      <c r="F2" s="124"/>
      <c r="G2" s="124"/>
      <c r="H2" s="125"/>
      <c r="I2" s="79" t="s">
        <v>13</v>
      </c>
      <c r="J2" s="79" t="s">
        <v>14</v>
      </c>
      <c r="K2" s="130"/>
      <c r="L2" s="88"/>
      <c r="M2" s="88"/>
      <c r="N2" s="88"/>
    </row>
    <row r="3" spans="1:14" ht="54" customHeight="1">
      <c r="A3" s="39" t="s">
        <v>236</v>
      </c>
      <c r="B3" s="128" t="s">
        <v>237</v>
      </c>
      <c r="C3" s="126" t="s">
        <v>129</v>
      </c>
      <c r="D3" s="127" t="s">
        <v>238</v>
      </c>
      <c r="E3" s="76" t="s">
        <v>239</v>
      </c>
      <c r="F3" s="76" t="s">
        <v>240</v>
      </c>
      <c r="G3" s="40" t="s">
        <v>21</v>
      </c>
      <c r="H3" s="75" t="s">
        <v>241</v>
      </c>
      <c r="I3" s="41" t="s">
        <v>23</v>
      </c>
      <c r="J3" s="29" t="s">
        <v>23</v>
      </c>
      <c r="K3" s="30"/>
      <c r="L3" s="30"/>
      <c r="M3" s="30"/>
      <c r="N3" s="30"/>
    </row>
    <row r="4" spans="1:14" ht="45.75">
      <c r="A4" s="39" t="s">
        <v>242</v>
      </c>
      <c r="B4" s="128"/>
      <c r="C4" s="126"/>
      <c r="D4" s="127"/>
      <c r="E4" s="74" t="s">
        <v>243</v>
      </c>
      <c r="F4" s="73" t="s">
        <v>132</v>
      </c>
      <c r="G4" s="40" t="s">
        <v>21</v>
      </c>
      <c r="H4" s="74" t="s">
        <v>244</v>
      </c>
      <c r="I4" s="42" t="s">
        <v>245</v>
      </c>
      <c r="J4" s="42" t="s">
        <v>245</v>
      </c>
      <c r="K4" s="32"/>
      <c r="L4" s="32"/>
      <c r="M4" s="32"/>
      <c r="N4" s="32"/>
    </row>
    <row r="5" spans="1:14" ht="53.25" customHeight="1">
      <c r="A5" s="39" t="s">
        <v>246</v>
      </c>
      <c r="B5" s="119" t="s">
        <v>247</v>
      </c>
      <c r="C5" s="126" t="s">
        <v>129</v>
      </c>
      <c r="D5" s="120" t="s">
        <v>248</v>
      </c>
      <c r="E5" s="74" t="s">
        <v>249</v>
      </c>
      <c r="F5" s="73" t="s">
        <v>240</v>
      </c>
      <c r="G5" s="40" t="s">
        <v>21</v>
      </c>
      <c r="H5" s="74" t="s">
        <v>250</v>
      </c>
      <c r="I5" s="41" t="s">
        <v>23</v>
      </c>
      <c r="J5" s="41" t="s">
        <v>23</v>
      </c>
      <c r="K5" s="32"/>
      <c r="L5" s="32"/>
      <c r="M5" s="32"/>
      <c r="N5" s="32"/>
    </row>
    <row r="6" spans="1:14" ht="60.75">
      <c r="A6" s="39" t="s">
        <v>251</v>
      </c>
      <c r="B6" s="119"/>
      <c r="C6" s="126"/>
      <c r="D6" s="119"/>
      <c r="E6" s="74" t="s">
        <v>252</v>
      </c>
      <c r="F6" s="74" t="s">
        <v>253</v>
      </c>
      <c r="G6" s="40" t="s">
        <v>21</v>
      </c>
      <c r="H6" s="74" t="s">
        <v>254</v>
      </c>
      <c r="I6" s="41" t="s">
        <v>23</v>
      </c>
      <c r="J6" s="41" t="s">
        <v>23</v>
      </c>
      <c r="K6" s="32"/>
      <c r="L6" s="32"/>
      <c r="M6" s="32"/>
      <c r="N6" s="32"/>
    </row>
    <row r="7" spans="1:14" ht="43.5" customHeight="1">
      <c r="A7" s="39" t="s">
        <v>255</v>
      </c>
      <c r="B7" s="119" t="s">
        <v>256</v>
      </c>
      <c r="C7" s="131" t="s">
        <v>257</v>
      </c>
      <c r="D7" s="120" t="s">
        <v>258</v>
      </c>
      <c r="E7" s="74" t="s">
        <v>259</v>
      </c>
      <c r="F7" s="74" t="s">
        <v>260</v>
      </c>
      <c r="G7" s="40" t="s">
        <v>21</v>
      </c>
      <c r="H7" s="74" t="s">
        <v>261</v>
      </c>
      <c r="I7" s="41" t="s">
        <v>23</v>
      </c>
      <c r="J7" s="41" t="s">
        <v>23</v>
      </c>
      <c r="K7" s="32"/>
      <c r="L7" s="32"/>
      <c r="M7" s="32"/>
      <c r="N7" s="32"/>
    </row>
    <row r="8" spans="1:14" ht="45.75">
      <c r="A8" s="39" t="s">
        <v>262</v>
      </c>
      <c r="B8" s="119"/>
      <c r="C8" s="131"/>
      <c r="D8" s="120"/>
      <c r="E8" s="74" t="s">
        <v>263</v>
      </c>
      <c r="F8" s="74" t="s">
        <v>264</v>
      </c>
      <c r="G8" s="40" t="s">
        <v>21</v>
      </c>
      <c r="H8" s="74" t="s">
        <v>265</v>
      </c>
      <c r="I8" s="41" t="s">
        <v>23</v>
      </c>
      <c r="J8" s="41" t="s">
        <v>23</v>
      </c>
      <c r="K8" s="32"/>
      <c r="L8" s="32"/>
      <c r="M8" s="32"/>
      <c r="N8" s="32"/>
    </row>
    <row r="9" spans="1:14" ht="45.75">
      <c r="A9" s="39" t="s">
        <v>266</v>
      </c>
      <c r="B9" s="119"/>
      <c r="C9" s="131" t="s">
        <v>267</v>
      </c>
      <c r="D9" s="120"/>
      <c r="E9" s="74" t="s">
        <v>268</v>
      </c>
      <c r="F9" s="74" t="s">
        <v>269</v>
      </c>
      <c r="G9" s="40" t="s">
        <v>21</v>
      </c>
      <c r="H9" s="74" t="s">
        <v>270</v>
      </c>
      <c r="I9" s="41" t="s">
        <v>23</v>
      </c>
      <c r="J9" s="41" t="s">
        <v>23</v>
      </c>
      <c r="K9" s="32"/>
      <c r="L9" s="32"/>
      <c r="M9" s="32"/>
      <c r="N9" s="32"/>
    </row>
    <row r="10" spans="1:14" ht="45.75">
      <c r="A10" s="39" t="s">
        <v>271</v>
      </c>
      <c r="B10" s="119"/>
      <c r="C10" s="131"/>
      <c r="D10" s="120"/>
      <c r="E10" s="74" t="s">
        <v>272</v>
      </c>
      <c r="F10" s="74" t="s">
        <v>273</v>
      </c>
      <c r="G10" s="40" t="s">
        <v>21</v>
      </c>
      <c r="H10" s="74" t="s">
        <v>274</v>
      </c>
      <c r="I10" s="41" t="s">
        <v>23</v>
      </c>
      <c r="J10" s="41" t="s">
        <v>23</v>
      </c>
      <c r="K10" s="32"/>
      <c r="L10" s="32"/>
      <c r="M10" s="32"/>
      <c r="N10" s="32"/>
    </row>
    <row r="11" spans="1:14" ht="30">
      <c r="A11" s="39" t="s">
        <v>275</v>
      </c>
      <c r="B11" s="127" t="s">
        <v>276</v>
      </c>
      <c r="C11" s="127" t="s">
        <v>277</v>
      </c>
      <c r="D11" s="127" t="s">
        <v>278</v>
      </c>
      <c r="E11" s="76" t="s">
        <v>279</v>
      </c>
      <c r="F11" s="80" t="s">
        <v>280</v>
      </c>
      <c r="G11" s="43" t="s">
        <v>46</v>
      </c>
      <c r="H11" s="76" t="s">
        <v>281</v>
      </c>
      <c r="I11" s="41" t="s">
        <v>23</v>
      </c>
      <c r="J11" s="41" t="s">
        <v>23</v>
      </c>
      <c r="K11" s="32"/>
      <c r="L11" s="32"/>
      <c r="M11" s="32"/>
      <c r="N11" s="32"/>
    </row>
    <row r="12" spans="1:14" ht="45.75">
      <c r="A12" s="39" t="s">
        <v>282</v>
      </c>
      <c r="B12" s="127"/>
      <c r="C12" s="127"/>
      <c r="D12" s="127"/>
      <c r="E12" s="76" t="s">
        <v>283</v>
      </c>
      <c r="F12" s="80" t="s">
        <v>284</v>
      </c>
      <c r="G12" s="43" t="s">
        <v>46</v>
      </c>
      <c r="H12" s="76" t="s">
        <v>285</v>
      </c>
      <c r="I12" s="41" t="s">
        <v>23</v>
      </c>
      <c r="J12" s="41" t="s">
        <v>23</v>
      </c>
      <c r="K12" s="32"/>
      <c r="L12" s="32"/>
      <c r="M12" s="32"/>
      <c r="N12" s="32"/>
    </row>
    <row r="13" spans="1:14" ht="45.75">
      <c r="A13" s="39" t="s">
        <v>286</v>
      </c>
      <c r="B13" s="127"/>
      <c r="C13" s="127"/>
      <c r="D13" s="127"/>
      <c r="E13" s="76" t="s">
        <v>287</v>
      </c>
      <c r="F13" s="80" t="s">
        <v>288</v>
      </c>
      <c r="G13" s="43" t="s">
        <v>46</v>
      </c>
      <c r="H13" s="76" t="s">
        <v>289</v>
      </c>
      <c r="I13" s="41" t="s">
        <v>23</v>
      </c>
      <c r="J13" s="41" t="s">
        <v>23</v>
      </c>
      <c r="K13" s="32"/>
      <c r="L13" s="32"/>
      <c r="M13" s="32"/>
      <c r="N13" s="32"/>
    </row>
    <row r="14" spans="1:14" ht="30">
      <c r="A14" s="39" t="s">
        <v>290</v>
      </c>
      <c r="B14" s="127"/>
      <c r="C14" s="127"/>
      <c r="D14" s="127"/>
      <c r="E14" s="76" t="s">
        <v>291</v>
      </c>
      <c r="F14" s="80" t="s">
        <v>284</v>
      </c>
      <c r="G14" s="44" t="s">
        <v>29</v>
      </c>
      <c r="H14" s="76" t="s">
        <v>292</v>
      </c>
      <c r="I14" s="41" t="s">
        <v>23</v>
      </c>
      <c r="J14" s="41" t="s">
        <v>23</v>
      </c>
      <c r="K14" s="32"/>
      <c r="L14" s="32"/>
      <c r="M14" s="32"/>
      <c r="N14" s="32"/>
    </row>
    <row r="15" spans="1:14" ht="121.5">
      <c r="A15" s="39" t="s">
        <v>293</v>
      </c>
      <c r="B15" s="127"/>
      <c r="C15" s="127"/>
      <c r="D15" s="132"/>
      <c r="E15" s="77" t="s">
        <v>294</v>
      </c>
      <c r="F15" s="76" t="s">
        <v>295</v>
      </c>
      <c r="G15" s="43" t="s">
        <v>46</v>
      </c>
      <c r="H15" s="76" t="s">
        <v>296</v>
      </c>
      <c r="I15" s="41" t="s">
        <v>23</v>
      </c>
      <c r="J15" s="41" t="s">
        <v>23</v>
      </c>
      <c r="K15" s="32"/>
      <c r="L15" s="32"/>
      <c r="M15" s="32"/>
      <c r="N15" s="32"/>
    </row>
    <row r="16" spans="1:14" ht="40.5" customHeight="1">
      <c r="A16" s="39" t="s">
        <v>297</v>
      </c>
      <c r="B16" s="73" t="s">
        <v>298</v>
      </c>
      <c r="C16" s="45" t="s">
        <v>299</v>
      </c>
      <c r="D16" s="74" t="s">
        <v>300</v>
      </c>
      <c r="E16" s="74" t="s">
        <v>301</v>
      </c>
      <c r="F16" s="46" t="s">
        <v>302</v>
      </c>
      <c r="G16" s="40" t="s">
        <v>21</v>
      </c>
      <c r="H16" s="74" t="s">
        <v>303</v>
      </c>
      <c r="I16" s="41" t="s">
        <v>23</v>
      </c>
      <c r="J16" s="41" t="s">
        <v>23</v>
      </c>
      <c r="K16" s="32"/>
      <c r="L16" s="32"/>
      <c r="M16" s="32"/>
      <c r="N16" s="32"/>
    </row>
    <row r="17" spans="1:14" ht="45.75">
      <c r="A17" s="39" t="s">
        <v>304</v>
      </c>
      <c r="B17" s="121" t="s">
        <v>305</v>
      </c>
      <c r="C17" s="120" t="s">
        <v>277</v>
      </c>
      <c r="D17" s="122" t="s">
        <v>306</v>
      </c>
      <c r="E17" s="82" t="s">
        <v>307</v>
      </c>
      <c r="F17" s="81" t="s">
        <v>308</v>
      </c>
      <c r="G17" s="47" t="s">
        <v>21</v>
      </c>
      <c r="H17" s="83" t="s">
        <v>309</v>
      </c>
      <c r="I17" s="41" t="s">
        <v>23</v>
      </c>
      <c r="J17" s="41" t="s">
        <v>23</v>
      </c>
      <c r="K17" s="32"/>
      <c r="L17" s="32"/>
      <c r="M17" s="32"/>
      <c r="N17" s="32"/>
    </row>
    <row r="18" spans="1:14" ht="60.75">
      <c r="A18" s="39" t="s">
        <v>310</v>
      </c>
      <c r="B18" s="121"/>
      <c r="C18" s="120"/>
      <c r="D18" s="123"/>
      <c r="E18" s="83" t="s">
        <v>311</v>
      </c>
      <c r="F18" s="83" t="s">
        <v>312</v>
      </c>
      <c r="G18" s="47" t="s">
        <v>21</v>
      </c>
      <c r="H18" s="74" t="s">
        <v>313</v>
      </c>
      <c r="I18" s="41" t="s">
        <v>23</v>
      </c>
      <c r="J18" s="41" t="s">
        <v>23</v>
      </c>
      <c r="K18" s="32"/>
      <c r="L18" s="32"/>
      <c r="M18" s="32"/>
      <c r="N18" s="32"/>
    </row>
    <row r="19" spans="1:14" ht="45.75">
      <c r="A19" s="39" t="s">
        <v>314</v>
      </c>
      <c r="B19" s="121"/>
      <c r="C19" s="120"/>
      <c r="D19" s="123"/>
      <c r="E19" s="83" t="s">
        <v>315</v>
      </c>
      <c r="F19" s="81" t="s">
        <v>308</v>
      </c>
      <c r="G19" s="47" t="s">
        <v>21</v>
      </c>
      <c r="H19" s="74" t="s">
        <v>316</v>
      </c>
      <c r="I19" s="41" t="s">
        <v>23</v>
      </c>
      <c r="J19" s="41" t="s">
        <v>23</v>
      </c>
      <c r="K19" s="32"/>
      <c r="L19" s="32"/>
      <c r="M19" s="32"/>
      <c r="N19" s="32"/>
    </row>
    <row r="20" spans="1:14" ht="60.75">
      <c r="A20" s="39" t="s">
        <v>317</v>
      </c>
      <c r="B20" s="121"/>
      <c r="C20" s="120"/>
      <c r="D20" s="123"/>
      <c r="E20" s="83" t="s">
        <v>318</v>
      </c>
      <c r="F20" s="83" t="s">
        <v>312</v>
      </c>
      <c r="G20" s="47" t="s">
        <v>21</v>
      </c>
      <c r="H20" s="74" t="s">
        <v>319</v>
      </c>
      <c r="I20" s="41" t="s">
        <v>23</v>
      </c>
      <c r="J20" s="41" t="s">
        <v>23</v>
      </c>
      <c r="K20" s="32"/>
      <c r="L20" s="32"/>
      <c r="M20" s="32"/>
      <c r="N20" s="32"/>
    </row>
    <row r="21" spans="1:14" ht="30">
      <c r="A21" s="39" t="s">
        <v>320</v>
      </c>
      <c r="B21" s="121"/>
      <c r="C21" s="120"/>
      <c r="D21" s="123"/>
      <c r="E21" s="83" t="s">
        <v>321</v>
      </c>
      <c r="F21" s="81" t="s">
        <v>308</v>
      </c>
      <c r="G21" s="47" t="s">
        <v>21</v>
      </c>
      <c r="H21" s="74" t="s">
        <v>322</v>
      </c>
      <c r="I21" s="41" t="s">
        <v>23</v>
      </c>
      <c r="J21" s="41" t="s">
        <v>23</v>
      </c>
      <c r="K21" s="32"/>
      <c r="L21" s="32"/>
      <c r="M21" s="32"/>
      <c r="N21" s="32"/>
    </row>
    <row r="22" spans="1:14" ht="30">
      <c r="A22" s="39" t="s">
        <v>323</v>
      </c>
      <c r="B22" s="119" t="s">
        <v>324</v>
      </c>
      <c r="C22" s="120" t="s">
        <v>257</v>
      </c>
      <c r="D22" s="120" t="s">
        <v>325</v>
      </c>
      <c r="E22" s="74" t="s">
        <v>326</v>
      </c>
      <c r="F22" s="74" t="s">
        <v>327</v>
      </c>
      <c r="G22" s="40" t="s">
        <v>21</v>
      </c>
      <c r="H22" s="74" t="s">
        <v>328</v>
      </c>
      <c r="I22" s="41" t="s">
        <v>23</v>
      </c>
      <c r="J22" s="41" t="s">
        <v>23</v>
      </c>
      <c r="K22" s="32"/>
      <c r="L22" s="32"/>
      <c r="M22" s="32"/>
      <c r="N22" s="32"/>
    </row>
    <row r="23" spans="1:14" ht="60.75">
      <c r="A23" s="39" t="s">
        <v>329</v>
      </c>
      <c r="B23" s="119"/>
      <c r="C23" s="120"/>
      <c r="D23" s="120"/>
      <c r="E23" s="74" t="s">
        <v>330</v>
      </c>
      <c r="F23" s="74" t="s">
        <v>331</v>
      </c>
      <c r="G23" s="40" t="s">
        <v>21</v>
      </c>
      <c r="H23" s="74" t="s">
        <v>332</v>
      </c>
      <c r="I23" s="41" t="s">
        <v>23</v>
      </c>
      <c r="J23" s="41" t="s">
        <v>23</v>
      </c>
      <c r="K23" s="32"/>
      <c r="L23" s="32"/>
      <c r="M23" s="32"/>
      <c r="N23" s="32"/>
    </row>
    <row r="24" spans="1:14" ht="45.75" customHeight="1">
      <c r="A24" s="39" t="s">
        <v>333</v>
      </c>
      <c r="B24" s="119" t="s">
        <v>334</v>
      </c>
      <c r="C24" s="133" t="s">
        <v>257</v>
      </c>
      <c r="D24" s="120" t="s">
        <v>335</v>
      </c>
      <c r="E24" s="74" t="s">
        <v>336</v>
      </c>
      <c r="F24" s="74" t="s">
        <v>337</v>
      </c>
      <c r="G24" s="40" t="s">
        <v>21</v>
      </c>
      <c r="H24" s="76" t="s">
        <v>338</v>
      </c>
      <c r="I24" s="41" t="s">
        <v>23</v>
      </c>
      <c r="J24" s="41" t="s">
        <v>23</v>
      </c>
      <c r="K24" s="32"/>
      <c r="L24" s="32"/>
      <c r="M24" s="32"/>
      <c r="N24" s="32"/>
    </row>
    <row r="25" spans="1:14" ht="60.75">
      <c r="A25" s="39" t="s">
        <v>339</v>
      </c>
      <c r="B25" s="119"/>
      <c r="C25" s="134"/>
      <c r="D25" s="120"/>
      <c r="E25" s="74" t="s">
        <v>340</v>
      </c>
      <c r="F25" s="74" t="s">
        <v>341</v>
      </c>
      <c r="G25" s="40" t="s">
        <v>21</v>
      </c>
      <c r="H25" s="76" t="s">
        <v>342</v>
      </c>
      <c r="I25" s="41" t="s">
        <v>23</v>
      </c>
      <c r="J25" s="41" t="s">
        <v>23</v>
      </c>
      <c r="K25" s="32"/>
      <c r="L25" s="32"/>
      <c r="M25" s="32"/>
      <c r="N25" s="32"/>
    </row>
    <row r="26" spans="1:14" ht="30">
      <c r="A26" s="39" t="s">
        <v>343</v>
      </c>
      <c r="B26" s="119"/>
      <c r="C26" s="134"/>
      <c r="D26" s="120"/>
      <c r="E26" s="74" t="s">
        <v>344</v>
      </c>
      <c r="F26" s="74" t="s">
        <v>345</v>
      </c>
      <c r="G26" s="40" t="s">
        <v>46</v>
      </c>
      <c r="H26" s="76" t="s">
        <v>346</v>
      </c>
      <c r="I26" s="41" t="s">
        <v>23</v>
      </c>
      <c r="J26" s="41" t="s">
        <v>23</v>
      </c>
      <c r="K26" s="32"/>
      <c r="L26" s="32"/>
      <c r="M26" s="32"/>
      <c r="N26" s="32"/>
    </row>
    <row r="27" spans="1:14" ht="30">
      <c r="A27" s="39" t="s">
        <v>347</v>
      </c>
      <c r="B27" s="119"/>
      <c r="C27" s="135"/>
      <c r="D27" s="120"/>
      <c r="E27" s="74" t="s">
        <v>348</v>
      </c>
      <c r="F27" s="74" t="s">
        <v>349</v>
      </c>
      <c r="G27" s="40" t="s">
        <v>46</v>
      </c>
      <c r="H27" s="74" t="s">
        <v>350</v>
      </c>
      <c r="I27" s="62" t="s">
        <v>23</v>
      </c>
      <c r="J27" s="62" t="s">
        <v>23</v>
      </c>
      <c r="K27" s="32"/>
      <c r="L27" s="32"/>
      <c r="M27" s="32"/>
      <c r="N27" s="32"/>
    </row>
    <row r="28" spans="1:14" ht="45.75">
      <c r="A28" s="39" t="s">
        <v>351</v>
      </c>
      <c r="B28" s="119" t="s">
        <v>352</v>
      </c>
      <c r="C28" s="120" t="s">
        <v>257</v>
      </c>
      <c r="D28" s="120" t="s">
        <v>353</v>
      </c>
      <c r="E28" s="74" t="s">
        <v>354</v>
      </c>
      <c r="F28" s="73" t="s">
        <v>355</v>
      </c>
      <c r="G28" s="40" t="s">
        <v>46</v>
      </c>
      <c r="H28" s="22" t="s">
        <v>356</v>
      </c>
      <c r="I28" s="61" t="s">
        <v>23</v>
      </c>
      <c r="J28" s="61" t="s">
        <v>23</v>
      </c>
      <c r="K28" s="32"/>
      <c r="L28" s="32"/>
      <c r="M28" s="32"/>
      <c r="N28" s="32"/>
    </row>
    <row r="29" spans="1:14" ht="60.75">
      <c r="A29" s="39" t="s">
        <v>357</v>
      </c>
      <c r="B29" s="119"/>
      <c r="C29" s="120"/>
      <c r="D29" s="120"/>
      <c r="E29" s="74" t="s">
        <v>358</v>
      </c>
      <c r="F29" s="74" t="s">
        <v>359</v>
      </c>
      <c r="G29" s="40" t="s">
        <v>21</v>
      </c>
      <c r="H29" s="22" t="s">
        <v>360</v>
      </c>
      <c r="I29" s="61" t="s">
        <v>23</v>
      </c>
      <c r="J29" s="61" t="s">
        <v>23</v>
      </c>
      <c r="K29" s="32"/>
      <c r="L29" s="32"/>
      <c r="M29" s="32"/>
      <c r="N29" s="32"/>
    </row>
    <row r="30" spans="1:14" ht="45.75">
      <c r="A30" s="39" t="s">
        <v>361</v>
      </c>
      <c r="B30" s="119" t="s">
        <v>362</v>
      </c>
      <c r="C30" s="120" t="s">
        <v>363</v>
      </c>
      <c r="D30" s="120" t="s">
        <v>364</v>
      </c>
      <c r="E30" s="74" t="s">
        <v>365</v>
      </c>
      <c r="F30" s="74" t="s">
        <v>366</v>
      </c>
      <c r="G30" s="40" t="s">
        <v>21</v>
      </c>
      <c r="H30" s="74" t="s">
        <v>367</v>
      </c>
      <c r="I30" s="63" t="s">
        <v>23</v>
      </c>
      <c r="J30" s="63" t="s">
        <v>23</v>
      </c>
      <c r="K30" s="32"/>
      <c r="L30" s="32"/>
      <c r="M30" s="32"/>
      <c r="N30" s="32"/>
    </row>
    <row r="31" spans="1:14" ht="45.75">
      <c r="A31" s="39" t="s">
        <v>368</v>
      </c>
      <c r="B31" s="119"/>
      <c r="C31" s="119"/>
      <c r="D31" s="120"/>
      <c r="E31" s="74" t="s">
        <v>369</v>
      </c>
      <c r="F31" s="73" t="s">
        <v>370</v>
      </c>
      <c r="G31" s="40" t="s">
        <v>21</v>
      </c>
      <c r="H31" s="74" t="s">
        <v>371</v>
      </c>
      <c r="I31" s="41" t="s">
        <v>23</v>
      </c>
      <c r="J31" s="41" t="s">
        <v>23</v>
      </c>
      <c r="K31" s="32"/>
      <c r="L31" s="32"/>
      <c r="M31" s="32"/>
      <c r="N31" s="32"/>
    </row>
    <row r="32" spans="1:14" ht="45.75">
      <c r="A32" s="39" t="s">
        <v>372</v>
      </c>
      <c r="B32" s="119"/>
      <c r="C32" s="119"/>
      <c r="D32" s="120"/>
      <c r="E32" s="74" t="s">
        <v>373</v>
      </c>
      <c r="F32" s="73" t="s">
        <v>374</v>
      </c>
      <c r="G32" s="40" t="s">
        <v>46</v>
      </c>
      <c r="H32" s="74" t="s">
        <v>367</v>
      </c>
      <c r="I32" s="41" t="s">
        <v>23</v>
      </c>
      <c r="J32" s="41" t="s">
        <v>23</v>
      </c>
      <c r="K32" s="32"/>
      <c r="L32" s="32"/>
      <c r="M32" s="32"/>
      <c r="N32" s="32"/>
    </row>
    <row r="33" spans="1:14" ht="15">
      <c r="A33" s="32"/>
      <c r="B33" s="32"/>
      <c r="C33" s="32"/>
      <c r="D33" s="32" t="s">
        <v>375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</row>
  </sheetData>
  <mergeCells count="41">
    <mergeCell ref="B30:B32"/>
    <mergeCell ref="C30:C32"/>
    <mergeCell ref="D30:D32"/>
    <mergeCell ref="B7:B10"/>
    <mergeCell ref="D7:D10"/>
    <mergeCell ref="C9:C10"/>
    <mergeCell ref="C7:C8"/>
    <mergeCell ref="B11:B15"/>
    <mergeCell ref="C11:C15"/>
    <mergeCell ref="D11:D15"/>
    <mergeCell ref="B24:B27"/>
    <mergeCell ref="D24:D27"/>
    <mergeCell ref="B28:B29"/>
    <mergeCell ref="C28:C29"/>
    <mergeCell ref="D28:D29"/>
    <mergeCell ref="C24:C27"/>
    <mergeCell ref="N1:N2"/>
    <mergeCell ref="G1:G2"/>
    <mergeCell ref="H1:H2"/>
    <mergeCell ref="I1:J1"/>
    <mergeCell ref="K1:K2"/>
    <mergeCell ref="L1:L2"/>
    <mergeCell ref="M1:M2"/>
    <mergeCell ref="C3:C4"/>
    <mergeCell ref="D3:D4"/>
    <mergeCell ref="B5:B6"/>
    <mergeCell ref="C5:C6"/>
    <mergeCell ref="D5:D6"/>
    <mergeCell ref="B3:B4"/>
    <mergeCell ref="F1:F2"/>
    <mergeCell ref="A1:A2"/>
    <mergeCell ref="B1:B2"/>
    <mergeCell ref="C1:C2"/>
    <mergeCell ref="D1:D2"/>
    <mergeCell ref="E1:E2"/>
    <mergeCell ref="B22:B23"/>
    <mergeCell ref="C22:C23"/>
    <mergeCell ref="D22:D23"/>
    <mergeCell ref="B17:B21"/>
    <mergeCell ref="C17:C21"/>
    <mergeCell ref="D17:D21"/>
  </mergeCells>
  <conditionalFormatting sqref="G24:G32 G3:G10">
    <cfRule type="containsText" dxfId="32" priority="33" operator="containsText" text="High">
      <formula>NOT(ISERROR(SEARCH("High",G3)))</formula>
    </cfRule>
  </conditionalFormatting>
  <conditionalFormatting sqref="G24:G32 G3:G10">
    <cfRule type="containsText" dxfId="31" priority="32" operator="containsText" text="Medium">
      <formula>NOT(ISERROR(SEARCH("Medium",G3)))</formula>
    </cfRule>
  </conditionalFormatting>
  <conditionalFormatting sqref="G24:G32 G3:G10">
    <cfRule type="containsText" dxfId="30" priority="31" operator="containsText" text="Low">
      <formula>NOT(ISERROR(SEARCH("Low",G3)))</formula>
    </cfRule>
  </conditionalFormatting>
  <conditionalFormatting sqref="I3:I32 J4:J32">
    <cfRule type="containsText" dxfId="29" priority="30" operator="containsText" text="Passed">
      <formula>NOT(ISERROR(SEARCH("Passed",I3)))</formula>
    </cfRule>
  </conditionalFormatting>
  <conditionalFormatting sqref="I3:I32 J4:J32">
    <cfRule type="containsText" dxfId="28" priority="29" operator="containsText" text="Failed">
      <formula>NOT(ISERROR(SEARCH("Failed",I3)))</formula>
    </cfRule>
  </conditionalFormatting>
  <conditionalFormatting sqref="I3:I32 J4:J32">
    <cfRule type="containsText" dxfId="27" priority="28" operator="containsText" text="Un-test">
      <formula>NOT(ISERROR(SEARCH("Un-test",I3)))</formula>
    </cfRule>
  </conditionalFormatting>
  <conditionalFormatting sqref="J3">
    <cfRule type="containsText" dxfId="26" priority="27" operator="containsText" text="Passed">
      <formula>NOT(ISERROR(SEARCH("Passed",J3)))</formula>
    </cfRule>
  </conditionalFormatting>
  <conditionalFormatting sqref="J3">
    <cfRule type="containsText" dxfId="25" priority="26" operator="containsText" text="Failed">
      <formula>NOT(ISERROR(SEARCH("Failed",J3)))</formula>
    </cfRule>
  </conditionalFormatting>
  <conditionalFormatting sqref="J3">
    <cfRule type="containsText" dxfId="24" priority="25" operator="containsText" text="Un-test">
      <formula>NOT(ISERROR(SEARCH("Un-test",J3)))</formula>
    </cfRule>
  </conditionalFormatting>
  <conditionalFormatting sqref="G16">
    <cfRule type="containsText" dxfId="23" priority="15" operator="containsText" text="High">
      <formula>NOT(ISERROR(SEARCH("High",G16)))</formula>
    </cfRule>
  </conditionalFormatting>
  <conditionalFormatting sqref="G16">
    <cfRule type="containsText" dxfId="22" priority="14" operator="containsText" text="Medium">
      <formula>NOT(ISERROR(SEARCH("Medium",G16)))</formula>
    </cfRule>
  </conditionalFormatting>
  <conditionalFormatting sqref="G16">
    <cfRule type="containsText" dxfId="21" priority="13" operator="containsText" text="Low">
      <formula>NOT(ISERROR(SEARCH("Low",G16)))</formula>
    </cfRule>
  </conditionalFormatting>
  <conditionalFormatting sqref="G17:G21">
    <cfRule type="containsText" dxfId="20" priority="12" operator="containsText" text="High">
      <formula>NOT(ISERROR(SEARCH("High",G17)))</formula>
    </cfRule>
  </conditionalFormatting>
  <conditionalFormatting sqref="G17:G21">
    <cfRule type="containsText" dxfId="19" priority="11" operator="containsText" text="Medium">
      <formula>NOT(ISERROR(SEARCH("Medium",G17)))</formula>
    </cfRule>
  </conditionalFormatting>
  <conditionalFormatting sqref="G17:G21">
    <cfRule type="containsText" dxfId="18" priority="10" operator="containsText" text="Low">
      <formula>NOT(ISERROR(SEARCH("Low",G17)))</formula>
    </cfRule>
  </conditionalFormatting>
  <conditionalFormatting sqref="G22:G23">
    <cfRule type="containsText" dxfId="17" priority="3" operator="containsText" text="High">
      <formula>NOT(ISERROR(SEARCH("High",G22)))</formula>
    </cfRule>
  </conditionalFormatting>
  <conditionalFormatting sqref="G22:G23">
    <cfRule type="containsText" dxfId="16" priority="2" operator="containsText" text="Medium">
      <formula>NOT(ISERROR(SEARCH("Medium",G22)))</formula>
    </cfRule>
  </conditionalFormatting>
  <conditionalFormatting sqref="G22:G23">
    <cfRule type="containsText" dxfId="15" priority="1" operator="containsText" text="Low">
      <formula>NOT(ISERROR(SEARCH("Low",G22)))</formula>
    </cfRule>
  </conditionalFormatting>
  <dataValidations count="2">
    <dataValidation type="list" allowBlank="1" showInputMessage="1" showErrorMessage="1" sqref="I3:J32" xr:uid="{4DB2EF79-669B-48B0-836F-B960934B7021}">
      <formula1>"Passed, Failed, Un-test"</formula1>
    </dataValidation>
    <dataValidation type="list" allowBlank="1" showInputMessage="1" showErrorMessage="1" sqref="G3:G10 G16:G32" xr:uid="{C0082ED0-0DB8-472E-8122-7E7664CD7F1A}">
      <formula1>"High, Medium, 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F772-F731-42D5-8E24-8C66D3BA79F2}">
  <dimension ref="A1:N20"/>
  <sheetViews>
    <sheetView topLeftCell="A12" workbookViewId="0">
      <selection activeCell="K4" sqref="K4"/>
    </sheetView>
  </sheetViews>
  <sheetFormatPr defaultRowHeight="15"/>
  <cols>
    <col min="2" max="2" width="27.140625" customWidth="1"/>
    <col min="3" max="3" width="24.140625" customWidth="1"/>
    <col min="4" max="4" width="24.42578125" customWidth="1"/>
    <col min="5" max="5" width="29.28515625" customWidth="1"/>
    <col min="6" max="6" width="20.5703125" customWidth="1"/>
    <col min="8" max="8" width="36.5703125" bestFit="1" customWidth="1"/>
    <col min="10" max="10" width="16.28515625" bestFit="1" customWidth="1"/>
    <col min="12" max="12" width="14.7109375" bestFit="1" customWidth="1"/>
    <col min="14" max="14" width="10.7109375" bestFit="1" customWidth="1"/>
  </cols>
  <sheetData>
    <row r="1" spans="1:14">
      <c r="A1" s="88" t="s">
        <v>0</v>
      </c>
      <c r="B1" s="90" t="s">
        <v>1</v>
      </c>
      <c r="C1" s="88" t="s">
        <v>2</v>
      </c>
      <c r="D1" s="88" t="s">
        <v>3</v>
      </c>
      <c r="E1" s="90" t="s">
        <v>4</v>
      </c>
      <c r="F1" s="88" t="s">
        <v>5</v>
      </c>
      <c r="G1" s="88" t="s">
        <v>6</v>
      </c>
      <c r="H1" s="111" t="s">
        <v>7</v>
      </c>
      <c r="I1" s="129" t="s">
        <v>8</v>
      </c>
      <c r="J1" s="129"/>
      <c r="K1" s="130" t="s">
        <v>9</v>
      </c>
      <c r="L1" s="88" t="s">
        <v>10</v>
      </c>
      <c r="M1" s="88" t="s">
        <v>11</v>
      </c>
      <c r="N1" s="88" t="s">
        <v>12</v>
      </c>
    </row>
    <row r="2" spans="1:14">
      <c r="A2" s="89"/>
      <c r="B2" s="89"/>
      <c r="C2" s="89"/>
      <c r="D2" s="89"/>
      <c r="E2" s="97"/>
      <c r="F2" s="89"/>
      <c r="G2" s="89"/>
      <c r="H2" s="97"/>
      <c r="I2" s="66" t="s">
        <v>13</v>
      </c>
      <c r="J2" s="66" t="s">
        <v>14</v>
      </c>
      <c r="K2" s="89"/>
      <c r="L2" s="89"/>
      <c r="M2" s="89"/>
      <c r="N2" s="89"/>
    </row>
    <row r="3" spans="1:14" ht="76.5" customHeight="1">
      <c r="A3" s="39" t="s">
        <v>376</v>
      </c>
      <c r="B3" s="73" t="s">
        <v>377</v>
      </c>
      <c r="C3" s="74" t="s">
        <v>378</v>
      </c>
      <c r="D3" s="76" t="s">
        <v>379</v>
      </c>
      <c r="E3" s="76" t="s">
        <v>380</v>
      </c>
      <c r="F3" s="76"/>
      <c r="G3" s="40" t="s">
        <v>21</v>
      </c>
      <c r="H3" s="74" t="s">
        <v>381</v>
      </c>
      <c r="I3" s="41" t="s">
        <v>23</v>
      </c>
      <c r="J3" s="41" t="s">
        <v>23</v>
      </c>
      <c r="K3" s="30"/>
      <c r="L3" s="30"/>
      <c r="M3" s="30"/>
      <c r="N3" s="30"/>
    </row>
    <row r="4" spans="1:14" ht="86.25" customHeight="1">
      <c r="A4" s="39" t="s">
        <v>382</v>
      </c>
      <c r="B4" s="73" t="s">
        <v>383</v>
      </c>
      <c r="C4" s="74" t="s">
        <v>384</v>
      </c>
      <c r="D4" s="74" t="s">
        <v>385</v>
      </c>
      <c r="E4" s="74" t="s">
        <v>386</v>
      </c>
      <c r="F4" s="74" t="s">
        <v>387</v>
      </c>
      <c r="G4" s="40" t="s">
        <v>21</v>
      </c>
      <c r="H4" s="74" t="s">
        <v>388</v>
      </c>
      <c r="I4" s="41" t="s">
        <v>23</v>
      </c>
      <c r="J4" s="41" t="s">
        <v>23</v>
      </c>
      <c r="K4" s="32"/>
      <c r="L4" s="32"/>
      <c r="M4" s="32"/>
      <c r="N4" s="32"/>
    </row>
    <row r="5" spans="1:14" ht="76.5" customHeight="1">
      <c r="A5" s="39" t="s">
        <v>389</v>
      </c>
      <c r="B5" s="119" t="s">
        <v>390</v>
      </c>
      <c r="C5" s="120" t="s">
        <v>391</v>
      </c>
      <c r="D5" s="120" t="s">
        <v>392</v>
      </c>
      <c r="E5" s="74" t="s">
        <v>393</v>
      </c>
      <c r="F5" s="74" t="s">
        <v>394</v>
      </c>
      <c r="G5" s="40" t="s">
        <v>21</v>
      </c>
      <c r="H5" s="73" t="s">
        <v>395</v>
      </c>
      <c r="I5" s="41" t="s">
        <v>23</v>
      </c>
      <c r="J5" s="41" t="s">
        <v>23</v>
      </c>
      <c r="K5" s="32"/>
      <c r="L5" s="32"/>
      <c r="M5" s="32"/>
      <c r="N5" s="32"/>
    </row>
    <row r="6" spans="1:14" ht="45.75">
      <c r="A6" s="39" t="s">
        <v>396</v>
      </c>
      <c r="B6" s="119"/>
      <c r="C6" s="119"/>
      <c r="D6" s="120"/>
      <c r="E6" s="74" t="s">
        <v>397</v>
      </c>
      <c r="F6" s="74" t="s">
        <v>398</v>
      </c>
      <c r="G6" s="40" t="s">
        <v>46</v>
      </c>
      <c r="H6" s="83" t="s">
        <v>399</v>
      </c>
      <c r="I6" s="41" t="s">
        <v>23</v>
      </c>
      <c r="J6" s="41" t="s">
        <v>23</v>
      </c>
      <c r="K6" s="32"/>
      <c r="L6" s="32"/>
      <c r="M6" s="32"/>
      <c r="N6" s="32"/>
    </row>
    <row r="7" spans="1:14" ht="45.75">
      <c r="A7" s="39" t="s">
        <v>400</v>
      </c>
      <c r="B7" s="119"/>
      <c r="C7" s="119"/>
      <c r="D7" s="120"/>
      <c r="E7" s="74" t="s">
        <v>401</v>
      </c>
      <c r="F7" s="74" t="s">
        <v>402</v>
      </c>
      <c r="G7" s="40" t="s">
        <v>46</v>
      </c>
      <c r="H7" s="74" t="s">
        <v>403</v>
      </c>
      <c r="I7" s="41" t="s">
        <v>23</v>
      </c>
      <c r="J7" s="41" t="s">
        <v>23</v>
      </c>
      <c r="K7" s="32"/>
      <c r="L7" s="32"/>
      <c r="M7" s="32"/>
      <c r="N7" s="32"/>
    </row>
    <row r="8" spans="1:14" ht="45.75">
      <c r="A8" s="39" t="s">
        <v>404</v>
      </c>
      <c r="B8" s="119"/>
      <c r="C8" s="119"/>
      <c r="D8" s="120"/>
      <c r="E8" s="74" t="s">
        <v>405</v>
      </c>
      <c r="F8" s="74" t="s">
        <v>406</v>
      </c>
      <c r="G8" s="40" t="s">
        <v>46</v>
      </c>
      <c r="H8" s="73" t="s">
        <v>407</v>
      </c>
      <c r="I8" s="41" t="s">
        <v>23</v>
      </c>
      <c r="J8" s="41" t="s">
        <v>23</v>
      </c>
      <c r="K8" s="32"/>
      <c r="L8" s="32"/>
      <c r="M8" s="32"/>
      <c r="N8" s="32"/>
    </row>
    <row r="9" spans="1:14" ht="45.75">
      <c r="A9" s="39" t="s">
        <v>408</v>
      </c>
      <c r="B9" s="119"/>
      <c r="C9" s="119"/>
      <c r="D9" s="120"/>
      <c r="E9" s="74" t="s">
        <v>409</v>
      </c>
      <c r="F9" s="74" t="s">
        <v>410</v>
      </c>
      <c r="G9" s="40" t="s">
        <v>46</v>
      </c>
      <c r="H9" s="73" t="s">
        <v>407</v>
      </c>
      <c r="I9" s="41" t="s">
        <v>23</v>
      </c>
      <c r="J9" s="41" t="s">
        <v>23</v>
      </c>
      <c r="K9" s="32"/>
      <c r="L9" s="32"/>
      <c r="M9" s="32"/>
      <c r="N9" s="32"/>
    </row>
    <row r="10" spans="1:14" ht="76.5" customHeight="1">
      <c r="A10" s="39" t="s">
        <v>411</v>
      </c>
      <c r="B10" s="119" t="s">
        <v>412</v>
      </c>
      <c r="C10" s="120" t="s">
        <v>391</v>
      </c>
      <c r="D10" s="120" t="s">
        <v>413</v>
      </c>
      <c r="E10" s="74" t="s">
        <v>414</v>
      </c>
      <c r="F10" s="74" t="s">
        <v>415</v>
      </c>
      <c r="G10" s="40" t="s">
        <v>21</v>
      </c>
      <c r="H10" s="73" t="s">
        <v>416</v>
      </c>
      <c r="I10" s="41" t="s">
        <v>23</v>
      </c>
      <c r="J10" s="41" t="s">
        <v>23</v>
      </c>
      <c r="K10" s="32"/>
      <c r="L10" s="32"/>
      <c r="M10" s="32"/>
      <c r="N10" s="32"/>
    </row>
    <row r="11" spans="1:14" ht="45.75">
      <c r="A11" s="39" t="s">
        <v>417</v>
      </c>
      <c r="B11" s="119"/>
      <c r="C11" s="119"/>
      <c r="D11" s="120"/>
      <c r="E11" s="74" t="s">
        <v>418</v>
      </c>
      <c r="F11" s="74" t="s">
        <v>419</v>
      </c>
      <c r="G11" s="40" t="s">
        <v>46</v>
      </c>
      <c r="H11" s="83" t="s">
        <v>399</v>
      </c>
      <c r="I11" s="41" t="s">
        <v>23</v>
      </c>
      <c r="J11" s="41" t="s">
        <v>23</v>
      </c>
      <c r="K11" s="32"/>
      <c r="L11" s="32"/>
      <c r="M11" s="32"/>
      <c r="N11" s="32"/>
    </row>
    <row r="12" spans="1:14" ht="45.75">
      <c r="A12" s="39" t="s">
        <v>420</v>
      </c>
      <c r="B12" s="119"/>
      <c r="C12" s="119"/>
      <c r="D12" s="120"/>
      <c r="E12" s="74" t="s">
        <v>421</v>
      </c>
      <c r="F12" s="74" t="s">
        <v>422</v>
      </c>
      <c r="G12" s="40" t="s">
        <v>46</v>
      </c>
      <c r="H12" s="73" t="s">
        <v>407</v>
      </c>
      <c r="I12" s="41" t="s">
        <v>23</v>
      </c>
      <c r="J12" s="41" t="s">
        <v>23</v>
      </c>
      <c r="K12" s="32"/>
      <c r="L12" s="32"/>
      <c r="M12" s="32"/>
      <c r="N12" s="32"/>
    </row>
    <row r="13" spans="1:14" ht="54.75" customHeight="1">
      <c r="A13" s="39" t="s">
        <v>423</v>
      </c>
      <c r="B13" s="119" t="s">
        <v>424</v>
      </c>
      <c r="C13" s="120" t="s">
        <v>391</v>
      </c>
      <c r="D13" s="120" t="s">
        <v>425</v>
      </c>
      <c r="E13" s="74" t="s">
        <v>426</v>
      </c>
      <c r="F13" s="74" t="s">
        <v>427</v>
      </c>
      <c r="G13" s="40" t="s">
        <v>46</v>
      </c>
      <c r="H13" s="73" t="s">
        <v>428</v>
      </c>
      <c r="I13" s="41" t="s">
        <v>23</v>
      </c>
      <c r="J13" s="41" t="s">
        <v>23</v>
      </c>
      <c r="K13" s="32"/>
      <c r="L13" s="32"/>
      <c r="M13" s="32"/>
      <c r="N13" s="32"/>
    </row>
    <row r="14" spans="1:14" ht="48" customHeight="1">
      <c r="A14" s="39" t="s">
        <v>429</v>
      </c>
      <c r="B14" s="119"/>
      <c r="C14" s="119"/>
      <c r="D14" s="120"/>
      <c r="E14" s="74" t="s">
        <v>430</v>
      </c>
      <c r="F14" s="73" t="s">
        <v>431</v>
      </c>
      <c r="G14" s="40" t="s">
        <v>46</v>
      </c>
      <c r="H14" s="73" t="s">
        <v>407</v>
      </c>
      <c r="I14" s="41" t="s">
        <v>23</v>
      </c>
      <c r="J14" s="41" t="s">
        <v>23</v>
      </c>
      <c r="K14" s="32"/>
      <c r="L14" s="32"/>
      <c r="M14" s="32"/>
      <c r="N14" s="32"/>
    </row>
    <row r="15" spans="1:14" ht="45.75" customHeight="1">
      <c r="A15" s="39" t="s">
        <v>432</v>
      </c>
      <c r="B15" s="136" t="s">
        <v>433</v>
      </c>
      <c r="C15" s="135" t="s">
        <v>391</v>
      </c>
      <c r="D15" s="135" t="s">
        <v>434</v>
      </c>
      <c r="E15" s="78" t="s">
        <v>435</v>
      </c>
      <c r="F15" s="84"/>
      <c r="G15" s="48" t="s">
        <v>46</v>
      </c>
      <c r="H15" s="84" t="s">
        <v>436</v>
      </c>
      <c r="I15" s="41" t="s">
        <v>23</v>
      </c>
      <c r="J15" s="41" t="s">
        <v>23</v>
      </c>
      <c r="K15" s="32"/>
      <c r="L15" s="32"/>
      <c r="M15" s="32"/>
      <c r="N15" s="32"/>
    </row>
    <row r="16" spans="1:14" ht="30">
      <c r="A16" s="49" t="s">
        <v>437</v>
      </c>
      <c r="B16" s="119"/>
      <c r="C16" s="119"/>
      <c r="D16" s="120"/>
      <c r="E16" s="74" t="s">
        <v>438</v>
      </c>
      <c r="F16" s="73"/>
      <c r="G16" s="40" t="s">
        <v>46</v>
      </c>
      <c r="H16" s="73" t="s">
        <v>439</v>
      </c>
      <c r="I16" s="41" t="s">
        <v>23</v>
      </c>
      <c r="J16" s="41" t="s">
        <v>23</v>
      </c>
      <c r="K16" s="32"/>
      <c r="L16" s="32"/>
      <c r="M16" s="32"/>
      <c r="N16" s="32"/>
    </row>
    <row r="17" spans="1:14" ht="45.75">
      <c r="A17" s="80" t="s">
        <v>440</v>
      </c>
      <c r="B17" s="137"/>
      <c r="C17" s="119"/>
      <c r="D17" s="120"/>
      <c r="E17" s="74" t="s">
        <v>441</v>
      </c>
      <c r="F17" s="73"/>
      <c r="G17" s="40" t="s">
        <v>46</v>
      </c>
      <c r="H17" s="73" t="s">
        <v>442</v>
      </c>
      <c r="I17" s="41" t="s">
        <v>23</v>
      </c>
      <c r="J17" s="41" t="s">
        <v>23</v>
      </c>
      <c r="K17" s="32"/>
      <c r="L17" s="32"/>
      <c r="M17" s="32"/>
      <c r="N17" s="32"/>
    </row>
    <row r="18" spans="1:14">
      <c r="A18" s="5"/>
    </row>
    <row r="19" spans="1:14">
      <c r="A19" s="5"/>
    </row>
    <row r="20" spans="1:14">
      <c r="A20" s="5"/>
    </row>
  </sheetData>
  <mergeCells count="25">
    <mergeCell ref="B13:B14"/>
    <mergeCell ref="C13:C14"/>
    <mergeCell ref="D13:D14"/>
    <mergeCell ref="B15:B17"/>
    <mergeCell ref="C15:C17"/>
    <mergeCell ref="D15:D17"/>
    <mergeCell ref="B5:B9"/>
    <mergeCell ref="C5:C9"/>
    <mergeCell ref="D5:D9"/>
    <mergeCell ref="B10:B12"/>
    <mergeCell ref="C10:C12"/>
    <mergeCell ref="D10:D12"/>
    <mergeCell ref="M1:M2"/>
    <mergeCell ref="N1:N2"/>
    <mergeCell ref="F1:F2"/>
    <mergeCell ref="G1:G2"/>
    <mergeCell ref="H1:H2"/>
    <mergeCell ref="I1:J1"/>
    <mergeCell ref="K1:K2"/>
    <mergeCell ref="L1:L2"/>
    <mergeCell ref="A1:A2"/>
    <mergeCell ref="B1:B2"/>
    <mergeCell ref="C1:C2"/>
    <mergeCell ref="D1:D2"/>
    <mergeCell ref="E1:E2"/>
  </mergeCells>
  <conditionalFormatting sqref="G3:G17">
    <cfRule type="containsText" dxfId="14" priority="9" operator="containsText" text="High">
      <formula>NOT(ISERROR(SEARCH("High",G3)))</formula>
    </cfRule>
  </conditionalFormatting>
  <conditionalFormatting sqref="G3:G17">
    <cfRule type="containsText" dxfId="13" priority="8" operator="containsText" text="Medium">
      <formula>NOT(ISERROR(SEARCH("Medium",G3)))</formula>
    </cfRule>
  </conditionalFormatting>
  <conditionalFormatting sqref="G3:G17">
    <cfRule type="containsText" dxfId="12" priority="7" operator="containsText" text="Low">
      <formula>NOT(ISERROR(SEARCH("Low",G3)))</formula>
    </cfRule>
  </conditionalFormatting>
  <conditionalFormatting sqref="I3:J17">
    <cfRule type="containsText" dxfId="11" priority="6" operator="containsText" text="Passed">
      <formula>NOT(ISERROR(SEARCH("Passed",I3)))</formula>
    </cfRule>
  </conditionalFormatting>
  <conditionalFormatting sqref="I3:J17">
    <cfRule type="containsText" dxfId="10" priority="5" operator="containsText" text="Failed">
      <formula>NOT(ISERROR(SEARCH("Failed",I3)))</formula>
    </cfRule>
  </conditionalFormatting>
  <conditionalFormatting sqref="I3:J17">
    <cfRule type="containsText" dxfId="9" priority="4" operator="containsText" text="Un-test">
      <formula>NOT(ISERROR(SEARCH("Un-test",I3)))</formula>
    </cfRule>
  </conditionalFormatting>
  <dataValidations count="2">
    <dataValidation type="list" allowBlank="1" showInputMessage="1" showErrorMessage="1" sqref="I3:J17" xr:uid="{523AE55D-2E56-4F4B-A191-8A2EF168DD66}">
      <formula1>"Passed, Failed, Un-test"</formula1>
    </dataValidation>
    <dataValidation type="list" allowBlank="1" showInputMessage="1" showErrorMessage="1" sqref="G3:G17" xr:uid="{FA67ACBD-1FEB-4B0C-BE15-10A3CBDE8723}">
      <formula1>"High, Medium, 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A87B-21BD-49BD-B852-06E9439E35F1}">
  <dimension ref="A1:N54"/>
  <sheetViews>
    <sheetView topLeftCell="A41" workbookViewId="0">
      <selection activeCell="L5" sqref="L5"/>
    </sheetView>
  </sheetViews>
  <sheetFormatPr defaultRowHeight="15"/>
  <cols>
    <col min="1" max="1" width="9.140625" customWidth="1"/>
    <col min="2" max="2" width="22.7109375" customWidth="1"/>
    <col min="3" max="3" width="20.7109375" customWidth="1"/>
    <col min="4" max="4" width="27.7109375" customWidth="1"/>
    <col min="5" max="5" width="23.140625" customWidth="1"/>
    <col min="6" max="6" width="27.85546875" customWidth="1"/>
    <col min="7" max="7" width="10.28515625" customWidth="1"/>
    <col min="8" max="8" width="35.42578125" customWidth="1"/>
    <col min="10" max="10" width="16.28515625" bestFit="1" customWidth="1"/>
    <col min="12" max="12" width="14.7109375" bestFit="1" customWidth="1"/>
    <col min="13" max="13" width="31.28515625" bestFit="1" customWidth="1"/>
    <col min="14" max="14" width="10.7109375" bestFit="1" customWidth="1"/>
  </cols>
  <sheetData>
    <row r="1" spans="1:14">
      <c r="A1" s="88" t="s">
        <v>0</v>
      </c>
      <c r="B1" s="90" t="s">
        <v>1</v>
      </c>
      <c r="C1" s="88" t="s">
        <v>2</v>
      </c>
      <c r="D1" s="88" t="s">
        <v>443</v>
      </c>
      <c r="E1" s="90" t="s">
        <v>4</v>
      </c>
      <c r="F1" s="88" t="s">
        <v>5</v>
      </c>
      <c r="G1" s="88" t="s">
        <v>6</v>
      </c>
      <c r="H1" s="90" t="s">
        <v>7</v>
      </c>
      <c r="I1" s="98" t="s">
        <v>8</v>
      </c>
      <c r="J1" s="99"/>
      <c r="K1" s="88" t="s">
        <v>9</v>
      </c>
      <c r="L1" s="88" t="s">
        <v>10</v>
      </c>
      <c r="M1" s="88" t="s">
        <v>11</v>
      </c>
      <c r="N1" s="88" t="s">
        <v>12</v>
      </c>
    </row>
    <row r="2" spans="1:14">
      <c r="A2" s="89"/>
      <c r="B2" s="89"/>
      <c r="C2" s="89"/>
      <c r="D2" s="89"/>
      <c r="E2" s="97"/>
      <c r="F2" s="89"/>
      <c r="G2" s="89"/>
      <c r="H2" s="97"/>
      <c r="I2" s="65" t="s">
        <v>13</v>
      </c>
      <c r="J2" s="65" t="s">
        <v>14</v>
      </c>
      <c r="K2" s="89"/>
      <c r="L2" s="89"/>
      <c r="M2" s="89"/>
      <c r="N2" s="89"/>
    </row>
    <row r="3" spans="1:14" ht="60.75">
      <c r="A3" s="50" t="s">
        <v>444</v>
      </c>
      <c r="B3" s="92" t="s">
        <v>445</v>
      </c>
      <c r="C3" s="118" t="s">
        <v>277</v>
      </c>
      <c r="D3" s="92" t="s">
        <v>446</v>
      </c>
      <c r="E3" s="71" t="s">
        <v>447</v>
      </c>
      <c r="F3" s="71" t="s">
        <v>448</v>
      </c>
      <c r="G3" s="28" t="s">
        <v>21</v>
      </c>
      <c r="H3" s="71" t="s">
        <v>449</v>
      </c>
      <c r="I3" s="12" t="s">
        <v>23</v>
      </c>
      <c r="J3" s="18" t="s">
        <v>23</v>
      </c>
      <c r="K3" s="30"/>
      <c r="L3" s="30"/>
      <c r="M3" s="30"/>
      <c r="N3" s="30"/>
    </row>
    <row r="4" spans="1:14" ht="44.25" customHeight="1">
      <c r="A4" s="50" t="s">
        <v>450</v>
      </c>
      <c r="B4" s="92"/>
      <c r="C4" s="118"/>
      <c r="D4" s="92"/>
      <c r="E4" s="71" t="s">
        <v>451</v>
      </c>
      <c r="F4" s="71" t="s">
        <v>452</v>
      </c>
      <c r="G4" s="28" t="s">
        <v>46</v>
      </c>
      <c r="H4" s="71" t="s">
        <v>453</v>
      </c>
      <c r="I4" s="12" t="s">
        <v>23</v>
      </c>
      <c r="J4" s="18" t="s">
        <v>23</v>
      </c>
      <c r="K4" s="32"/>
      <c r="L4" s="32"/>
      <c r="M4" s="32"/>
      <c r="N4" s="32"/>
    </row>
    <row r="5" spans="1:14" ht="53.25" customHeight="1">
      <c r="A5" s="50" t="s">
        <v>454</v>
      </c>
      <c r="B5" s="92" t="s">
        <v>455</v>
      </c>
      <c r="C5" s="118" t="s">
        <v>456</v>
      </c>
      <c r="D5" s="92" t="s">
        <v>457</v>
      </c>
      <c r="E5" s="71" t="s">
        <v>458</v>
      </c>
      <c r="F5" s="71" t="s">
        <v>459</v>
      </c>
      <c r="G5" s="28" t="s">
        <v>21</v>
      </c>
      <c r="H5" s="71" t="s">
        <v>460</v>
      </c>
      <c r="I5" s="12" t="s">
        <v>23</v>
      </c>
      <c r="J5" s="18" t="s">
        <v>23</v>
      </c>
      <c r="K5" s="32"/>
      <c r="L5" s="32"/>
      <c r="M5" s="32"/>
      <c r="N5" s="32"/>
    </row>
    <row r="6" spans="1:14" ht="63.75" customHeight="1">
      <c r="A6" s="50" t="s">
        <v>461</v>
      </c>
      <c r="B6" s="92"/>
      <c r="C6" s="118"/>
      <c r="D6" s="92"/>
      <c r="E6" s="71" t="s">
        <v>462</v>
      </c>
      <c r="F6" s="71" t="s">
        <v>463</v>
      </c>
      <c r="G6" s="28" t="s">
        <v>21</v>
      </c>
      <c r="H6" s="71" t="s">
        <v>464</v>
      </c>
      <c r="I6" s="12" t="s">
        <v>23</v>
      </c>
      <c r="J6" s="18" t="s">
        <v>23</v>
      </c>
      <c r="K6" s="32"/>
      <c r="L6" s="32"/>
      <c r="M6" s="32"/>
      <c r="N6" s="32"/>
    </row>
    <row r="7" spans="1:14" ht="52.5" customHeight="1">
      <c r="A7" s="50" t="s">
        <v>465</v>
      </c>
      <c r="B7" s="92"/>
      <c r="C7" s="118"/>
      <c r="D7" s="92"/>
      <c r="E7" s="71" t="s">
        <v>466</v>
      </c>
      <c r="F7" s="92" t="s">
        <v>467</v>
      </c>
      <c r="G7" s="28" t="s">
        <v>21</v>
      </c>
      <c r="H7" s="71" t="s">
        <v>468</v>
      </c>
      <c r="I7" s="12" t="s">
        <v>23</v>
      </c>
      <c r="J7" s="18" t="s">
        <v>23</v>
      </c>
      <c r="K7" s="32"/>
      <c r="L7" s="32"/>
      <c r="M7" s="32"/>
      <c r="N7" s="32"/>
    </row>
    <row r="8" spans="1:14" ht="52.5" customHeight="1">
      <c r="A8" s="50" t="s">
        <v>469</v>
      </c>
      <c r="B8" s="92"/>
      <c r="C8" s="118"/>
      <c r="D8" s="92"/>
      <c r="E8" s="71" t="s">
        <v>470</v>
      </c>
      <c r="F8" s="92"/>
      <c r="G8" s="28" t="s">
        <v>21</v>
      </c>
      <c r="H8" s="71" t="s">
        <v>471</v>
      </c>
      <c r="I8" s="12" t="s">
        <v>23</v>
      </c>
      <c r="J8" s="18" t="s">
        <v>23</v>
      </c>
      <c r="K8" s="32"/>
      <c r="L8" s="32"/>
      <c r="M8" s="32"/>
      <c r="N8" s="32"/>
    </row>
    <row r="9" spans="1:14" ht="94.5" customHeight="1">
      <c r="A9" s="50" t="s">
        <v>472</v>
      </c>
      <c r="B9" s="92"/>
      <c r="C9" s="118"/>
      <c r="D9" s="92"/>
      <c r="E9" s="71" t="s">
        <v>473</v>
      </c>
      <c r="F9" s="71" t="s">
        <v>474</v>
      </c>
      <c r="G9" s="28" t="s">
        <v>21</v>
      </c>
      <c r="H9" s="71" t="s">
        <v>475</v>
      </c>
      <c r="I9" s="12" t="s">
        <v>23</v>
      </c>
      <c r="J9" s="18" t="s">
        <v>23</v>
      </c>
      <c r="K9" s="32"/>
      <c r="L9" s="32"/>
      <c r="M9" s="32"/>
      <c r="N9" s="32"/>
    </row>
    <row r="10" spans="1:14" ht="39.75" customHeight="1">
      <c r="A10" s="50" t="s">
        <v>476</v>
      </c>
      <c r="B10" s="138" t="s">
        <v>477</v>
      </c>
      <c r="C10" s="143" t="s">
        <v>478</v>
      </c>
      <c r="D10" s="138" t="s">
        <v>479</v>
      </c>
      <c r="E10" s="71" t="s">
        <v>480</v>
      </c>
      <c r="F10" s="71" t="s">
        <v>481</v>
      </c>
      <c r="G10" s="28" t="s">
        <v>21</v>
      </c>
      <c r="H10" s="71" t="s">
        <v>482</v>
      </c>
      <c r="I10" s="12" t="s">
        <v>23</v>
      </c>
      <c r="J10" s="18" t="s">
        <v>23</v>
      </c>
      <c r="K10" s="32"/>
      <c r="L10" s="32"/>
      <c r="M10" s="32"/>
      <c r="N10" s="32"/>
    </row>
    <row r="11" spans="1:14" ht="45.75">
      <c r="A11" s="50" t="s">
        <v>483</v>
      </c>
      <c r="B11" s="138"/>
      <c r="C11" s="143"/>
      <c r="D11" s="138"/>
      <c r="E11" s="71" t="s">
        <v>484</v>
      </c>
      <c r="F11" s="71" t="s">
        <v>485</v>
      </c>
      <c r="G11" s="28" t="s">
        <v>46</v>
      </c>
      <c r="H11" s="71" t="s">
        <v>482</v>
      </c>
      <c r="I11" s="12" t="s">
        <v>23</v>
      </c>
      <c r="J11" s="18" t="s">
        <v>23</v>
      </c>
      <c r="K11" s="32"/>
      <c r="L11" s="32"/>
      <c r="M11" s="32"/>
      <c r="N11" s="32"/>
    </row>
    <row r="12" spans="1:14" ht="45.75">
      <c r="A12" s="50" t="s">
        <v>486</v>
      </c>
      <c r="B12" s="138"/>
      <c r="C12" s="143"/>
      <c r="D12" s="138"/>
      <c r="E12" s="71" t="s">
        <v>487</v>
      </c>
      <c r="F12" s="71" t="s">
        <v>488</v>
      </c>
      <c r="G12" s="28" t="s">
        <v>21</v>
      </c>
      <c r="H12" s="71" t="s">
        <v>482</v>
      </c>
      <c r="I12" s="12" t="s">
        <v>23</v>
      </c>
      <c r="J12" s="18" t="s">
        <v>23</v>
      </c>
      <c r="K12" s="32"/>
      <c r="L12" s="32"/>
      <c r="M12" s="32"/>
      <c r="N12" s="32"/>
    </row>
    <row r="13" spans="1:14" ht="45.75">
      <c r="A13" s="50" t="s">
        <v>489</v>
      </c>
      <c r="B13" s="138"/>
      <c r="C13" s="143"/>
      <c r="D13" s="138"/>
      <c r="E13" s="71" t="s">
        <v>490</v>
      </c>
      <c r="F13" s="71" t="s">
        <v>491</v>
      </c>
      <c r="G13" s="28" t="s">
        <v>21</v>
      </c>
      <c r="H13" s="71" t="s">
        <v>482</v>
      </c>
      <c r="I13" s="12" t="s">
        <v>23</v>
      </c>
      <c r="J13" s="18" t="s">
        <v>23</v>
      </c>
      <c r="K13" s="32"/>
      <c r="L13" s="32"/>
      <c r="M13" s="32"/>
      <c r="N13" s="32"/>
    </row>
    <row r="14" spans="1:14" ht="45.75">
      <c r="A14" s="50" t="s">
        <v>492</v>
      </c>
      <c r="B14" s="138"/>
      <c r="C14" s="143"/>
      <c r="D14" s="138"/>
      <c r="E14" s="71" t="s">
        <v>493</v>
      </c>
      <c r="F14" s="71" t="s">
        <v>494</v>
      </c>
      <c r="G14" s="28" t="s">
        <v>21</v>
      </c>
      <c r="H14" s="71" t="s">
        <v>482</v>
      </c>
      <c r="I14" s="12" t="s">
        <v>23</v>
      </c>
      <c r="J14" s="18" t="s">
        <v>23</v>
      </c>
      <c r="K14" s="32"/>
      <c r="L14" s="32"/>
      <c r="M14" s="32"/>
      <c r="N14" s="32"/>
    </row>
    <row r="15" spans="1:14" ht="60.75">
      <c r="A15" s="50" t="s">
        <v>495</v>
      </c>
      <c r="B15" s="138"/>
      <c r="C15" s="143"/>
      <c r="D15" s="138"/>
      <c r="E15" s="71" t="s">
        <v>496</v>
      </c>
      <c r="F15" s="71" t="s">
        <v>497</v>
      </c>
      <c r="G15" s="28" t="s">
        <v>21</v>
      </c>
      <c r="H15" s="71" t="s">
        <v>498</v>
      </c>
      <c r="I15" s="12" t="s">
        <v>23</v>
      </c>
      <c r="J15" s="18" t="s">
        <v>23</v>
      </c>
      <c r="K15" s="32"/>
      <c r="L15" s="32"/>
      <c r="M15" s="32"/>
      <c r="N15" s="32"/>
    </row>
    <row r="16" spans="1:14" ht="45.75">
      <c r="A16" s="50" t="s">
        <v>499</v>
      </c>
      <c r="B16" s="138"/>
      <c r="C16" s="143"/>
      <c r="D16" s="138"/>
      <c r="E16" s="71" t="s">
        <v>500</v>
      </c>
      <c r="F16" s="71" t="s">
        <v>501</v>
      </c>
      <c r="G16" s="28" t="s">
        <v>21</v>
      </c>
      <c r="H16" s="71" t="s">
        <v>502</v>
      </c>
      <c r="I16" s="12" t="s">
        <v>23</v>
      </c>
      <c r="J16" s="18" t="s">
        <v>23</v>
      </c>
      <c r="K16" s="32"/>
      <c r="L16" s="32"/>
      <c r="M16" s="32"/>
      <c r="N16" s="32"/>
    </row>
    <row r="17" spans="1:14" ht="45.75">
      <c r="A17" s="50" t="s">
        <v>503</v>
      </c>
      <c r="B17" s="138"/>
      <c r="C17" s="143"/>
      <c r="D17" s="138"/>
      <c r="E17" s="71" t="s">
        <v>504</v>
      </c>
      <c r="F17" s="71" t="s">
        <v>505</v>
      </c>
      <c r="G17" s="28" t="s">
        <v>21</v>
      </c>
      <c r="H17" s="71" t="s">
        <v>502</v>
      </c>
      <c r="I17" s="12" t="s">
        <v>23</v>
      </c>
      <c r="J17" s="18" t="s">
        <v>23</v>
      </c>
      <c r="K17" s="32"/>
      <c r="L17" s="32"/>
      <c r="M17" s="32"/>
      <c r="N17" s="32"/>
    </row>
    <row r="18" spans="1:14" ht="45.75">
      <c r="A18" s="50" t="s">
        <v>506</v>
      </c>
      <c r="B18" s="138"/>
      <c r="C18" s="143"/>
      <c r="D18" s="138"/>
      <c r="E18" s="71" t="s">
        <v>507</v>
      </c>
      <c r="F18" s="71" t="s">
        <v>508</v>
      </c>
      <c r="G18" s="28" t="s">
        <v>46</v>
      </c>
      <c r="H18" s="71" t="s">
        <v>502</v>
      </c>
      <c r="I18" s="12" t="s">
        <v>23</v>
      </c>
      <c r="J18" s="18" t="s">
        <v>23</v>
      </c>
      <c r="K18" s="32"/>
      <c r="L18" s="32"/>
      <c r="M18" s="32"/>
      <c r="N18" s="32"/>
    </row>
    <row r="19" spans="1:14" ht="45.75">
      <c r="A19" s="50" t="s">
        <v>509</v>
      </c>
      <c r="B19" s="138"/>
      <c r="C19" s="143"/>
      <c r="D19" s="138"/>
      <c r="E19" s="71" t="s">
        <v>510</v>
      </c>
      <c r="F19" s="71" t="s">
        <v>511</v>
      </c>
      <c r="G19" s="28" t="s">
        <v>21</v>
      </c>
      <c r="H19" s="71" t="s">
        <v>502</v>
      </c>
      <c r="I19" s="12" t="s">
        <v>23</v>
      </c>
      <c r="J19" s="18" t="s">
        <v>23</v>
      </c>
      <c r="K19" s="32"/>
      <c r="L19" s="32"/>
      <c r="M19" s="32"/>
      <c r="N19" s="32"/>
    </row>
    <row r="20" spans="1:14" ht="45.75">
      <c r="A20" s="50" t="s">
        <v>512</v>
      </c>
      <c r="B20" s="138"/>
      <c r="C20" s="143"/>
      <c r="D20" s="138"/>
      <c r="E20" s="71" t="s">
        <v>513</v>
      </c>
      <c r="F20" s="71" t="s">
        <v>514</v>
      </c>
      <c r="G20" s="28" t="s">
        <v>46</v>
      </c>
      <c r="H20" s="71" t="s">
        <v>502</v>
      </c>
      <c r="I20" s="12" t="s">
        <v>23</v>
      </c>
      <c r="J20" s="18" t="s">
        <v>23</v>
      </c>
      <c r="K20" s="32"/>
      <c r="L20" s="32"/>
      <c r="M20" s="32"/>
      <c r="N20" s="32"/>
    </row>
    <row r="21" spans="1:14" ht="45.75">
      <c r="A21" s="50" t="s">
        <v>515</v>
      </c>
      <c r="B21" s="138"/>
      <c r="C21" s="143"/>
      <c r="D21" s="138"/>
      <c r="E21" s="71" t="s">
        <v>516</v>
      </c>
      <c r="F21" s="71" t="s">
        <v>517</v>
      </c>
      <c r="G21" s="28" t="s">
        <v>46</v>
      </c>
      <c r="H21" s="71" t="s">
        <v>518</v>
      </c>
      <c r="I21" s="12" t="s">
        <v>23</v>
      </c>
      <c r="J21" s="18" t="s">
        <v>23</v>
      </c>
      <c r="K21" s="32"/>
      <c r="L21" s="32"/>
      <c r="M21" s="32"/>
      <c r="N21" s="32"/>
    </row>
    <row r="22" spans="1:14" ht="47.25" customHeight="1">
      <c r="A22" s="50" t="s">
        <v>519</v>
      </c>
      <c r="B22" s="139" t="s">
        <v>520</v>
      </c>
      <c r="C22" s="138" t="s">
        <v>456</v>
      </c>
      <c r="D22" s="138" t="s">
        <v>521</v>
      </c>
      <c r="E22" s="71" t="s">
        <v>522</v>
      </c>
      <c r="F22" s="71" t="s">
        <v>523</v>
      </c>
      <c r="G22" s="28" t="s">
        <v>21</v>
      </c>
      <c r="H22" s="71" t="s">
        <v>524</v>
      </c>
      <c r="I22" s="12" t="s">
        <v>23</v>
      </c>
      <c r="J22" s="18" t="s">
        <v>23</v>
      </c>
      <c r="K22" s="32"/>
      <c r="L22" s="32"/>
      <c r="M22" s="32"/>
      <c r="N22" s="32"/>
    </row>
    <row r="23" spans="1:14" ht="45.75">
      <c r="A23" s="50" t="s">
        <v>525</v>
      </c>
      <c r="B23" s="139"/>
      <c r="C23" s="138"/>
      <c r="D23" s="138"/>
      <c r="E23" s="71" t="s">
        <v>526</v>
      </c>
      <c r="F23" s="70" t="s">
        <v>527</v>
      </c>
      <c r="G23" s="28" t="s">
        <v>46</v>
      </c>
      <c r="H23" s="71" t="s">
        <v>528</v>
      </c>
      <c r="I23" s="12" t="s">
        <v>23</v>
      </c>
      <c r="J23" s="18" t="s">
        <v>23</v>
      </c>
      <c r="K23" s="32"/>
      <c r="L23" s="32"/>
      <c r="M23" s="32"/>
      <c r="N23" s="32"/>
    </row>
    <row r="24" spans="1:14" ht="30">
      <c r="A24" s="50" t="s">
        <v>529</v>
      </c>
      <c r="B24" s="139"/>
      <c r="C24" s="138"/>
      <c r="D24" s="138"/>
      <c r="E24" s="71" t="s">
        <v>530</v>
      </c>
      <c r="F24" s="71" t="s">
        <v>531</v>
      </c>
      <c r="G24" s="28" t="s">
        <v>21</v>
      </c>
      <c r="H24" s="71" t="s">
        <v>532</v>
      </c>
      <c r="I24" s="56" t="s">
        <v>23</v>
      </c>
      <c r="J24" s="57" t="s">
        <v>23</v>
      </c>
      <c r="K24" s="32"/>
      <c r="L24" s="31"/>
      <c r="M24" s="31"/>
      <c r="N24" s="32"/>
    </row>
    <row r="25" spans="1:14" ht="30">
      <c r="A25" s="50" t="s">
        <v>533</v>
      </c>
      <c r="B25" s="139"/>
      <c r="C25" s="138"/>
      <c r="D25" s="138"/>
      <c r="E25" s="71" t="s">
        <v>534</v>
      </c>
      <c r="F25" s="70" t="s">
        <v>535</v>
      </c>
      <c r="G25" s="28" t="s">
        <v>21</v>
      </c>
      <c r="H25" s="55" t="s">
        <v>536</v>
      </c>
      <c r="I25" s="12" t="s">
        <v>23</v>
      </c>
      <c r="J25" s="12" t="s">
        <v>23</v>
      </c>
      <c r="K25" s="31"/>
      <c r="L25" s="31"/>
      <c r="M25" s="51"/>
      <c r="N25" s="32"/>
    </row>
    <row r="26" spans="1:14" ht="45.75">
      <c r="A26" s="50" t="s">
        <v>537</v>
      </c>
      <c r="B26" s="139"/>
      <c r="C26" s="138"/>
      <c r="D26" s="138"/>
      <c r="E26" s="71" t="s">
        <v>538</v>
      </c>
      <c r="F26" s="70" t="s">
        <v>539</v>
      </c>
      <c r="G26" s="28" t="s">
        <v>21</v>
      </c>
      <c r="H26" s="71" t="s">
        <v>540</v>
      </c>
      <c r="I26" s="58" t="s">
        <v>23</v>
      </c>
      <c r="J26" s="59" t="s">
        <v>23</v>
      </c>
      <c r="K26" s="32"/>
      <c r="L26" s="31"/>
      <c r="M26" s="31"/>
      <c r="N26" s="32"/>
    </row>
    <row r="27" spans="1:14" ht="45.75">
      <c r="A27" s="50" t="s">
        <v>541</v>
      </c>
      <c r="B27" s="139"/>
      <c r="C27" s="138"/>
      <c r="D27" s="138"/>
      <c r="E27" s="71" t="s">
        <v>542</v>
      </c>
      <c r="F27" s="71" t="s">
        <v>543</v>
      </c>
      <c r="G27" s="28" t="s">
        <v>46</v>
      </c>
      <c r="H27" s="71" t="s">
        <v>540</v>
      </c>
      <c r="I27" s="12" t="s">
        <v>23</v>
      </c>
      <c r="J27" s="18" t="s">
        <v>23</v>
      </c>
      <c r="K27" s="32"/>
      <c r="L27" s="32"/>
      <c r="M27" s="32"/>
      <c r="N27" s="32"/>
    </row>
    <row r="28" spans="1:14" ht="45.75">
      <c r="A28" s="50" t="s">
        <v>544</v>
      </c>
      <c r="B28" s="139"/>
      <c r="C28" s="138"/>
      <c r="D28" s="138"/>
      <c r="E28" s="71" t="s">
        <v>545</v>
      </c>
      <c r="F28" s="70" t="s">
        <v>546</v>
      </c>
      <c r="G28" s="28" t="s">
        <v>21</v>
      </c>
      <c r="H28" s="71" t="s">
        <v>547</v>
      </c>
      <c r="I28" s="12" t="s">
        <v>23</v>
      </c>
      <c r="J28" s="18" t="s">
        <v>23</v>
      </c>
      <c r="K28" s="32"/>
      <c r="L28" s="32"/>
      <c r="M28" s="32"/>
      <c r="N28" s="32"/>
    </row>
    <row r="29" spans="1:14" ht="39" customHeight="1">
      <c r="A29" s="50" t="s">
        <v>548</v>
      </c>
      <c r="B29" s="138" t="s">
        <v>549</v>
      </c>
      <c r="C29" s="138" t="s">
        <v>550</v>
      </c>
      <c r="D29" s="138" t="s">
        <v>551</v>
      </c>
      <c r="E29" s="71" t="s">
        <v>552</v>
      </c>
      <c r="F29" s="70" t="s">
        <v>553</v>
      </c>
      <c r="G29" s="28" t="s">
        <v>21</v>
      </c>
      <c r="H29" s="71" t="s">
        <v>554</v>
      </c>
      <c r="I29" s="12" t="s">
        <v>23</v>
      </c>
      <c r="J29" s="18" t="s">
        <v>23</v>
      </c>
      <c r="K29" s="32"/>
      <c r="L29" s="32"/>
      <c r="M29" s="32"/>
      <c r="N29" s="32"/>
    </row>
    <row r="30" spans="1:14" ht="45.75">
      <c r="A30" s="50" t="s">
        <v>555</v>
      </c>
      <c r="B30" s="139"/>
      <c r="C30" s="138"/>
      <c r="D30" s="138"/>
      <c r="E30" s="71" t="s">
        <v>556</v>
      </c>
      <c r="F30" s="70" t="s">
        <v>557</v>
      </c>
      <c r="G30" s="28" t="s">
        <v>46</v>
      </c>
      <c r="H30" s="71" t="s">
        <v>558</v>
      </c>
      <c r="I30" s="12" t="s">
        <v>23</v>
      </c>
      <c r="J30" s="18" t="s">
        <v>23</v>
      </c>
      <c r="K30" s="32"/>
      <c r="L30" s="32"/>
      <c r="M30" s="32"/>
      <c r="N30" s="32"/>
    </row>
    <row r="31" spans="1:14" ht="45.75">
      <c r="A31" s="50" t="s">
        <v>559</v>
      </c>
      <c r="B31" s="139"/>
      <c r="C31" s="138"/>
      <c r="D31" s="138"/>
      <c r="E31" s="71" t="s">
        <v>560</v>
      </c>
      <c r="F31" s="70" t="s">
        <v>561</v>
      </c>
      <c r="G31" s="28" t="s">
        <v>21</v>
      </c>
      <c r="H31" s="71" t="s">
        <v>562</v>
      </c>
      <c r="I31" s="12" t="s">
        <v>23</v>
      </c>
      <c r="J31" s="18" t="s">
        <v>23</v>
      </c>
      <c r="K31" s="32"/>
      <c r="L31" s="32"/>
      <c r="M31" s="32"/>
      <c r="N31" s="32"/>
    </row>
    <row r="32" spans="1:14" ht="45.75">
      <c r="A32" s="50" t="s">
        <v>563</v>
      </c>
      <c r="B32" s="139"/>
      <c r="C32" s="138"/>
      <c r="D32" s="138"/>
      <c r="E32" s="71" t="s">
        <v>564</v>
      </c>
      <c r="F32" s="70" t="s">
        <v>565</v>
      </c>
      <c r="G32" s="28" t="s">
        <v>21</v>
      </c>
      <c r="H32" s="71" t="s">
        <v>566</v>
      </c>
      <c r="I32" s="12" t="s">
        <v>23</v>
      </c>
      <c r="J32" s="18" t="s">
        <v>23</v>
      </c>
      <c r="K32" s="32"/>
      <c r="L32" s="32"/>
      <c r="M32" s="32"/>
      <c r="N32" s="32"/>
    </row>
    <row r="33" spans="1:14" ht="45.75">
      <c r="A33" s="50" t="s">
        <v>567</v>
      </c>
      <c r="B33" s="139"/>
      <c r="C33" s="138"/>
      <c r="D33" s="138"/>
      <c r="E33" s="71" t="s">
        <v>568</v>
      </c>
      <c r="F33" s="70" t="s">
        <v>569</v>
      </c>
      <c r="G33" s="28" t="s">
        <v>21</v>
      </c>
      <c r="H33" s="71" t="s">
        <v>570</v>
      </c>
      <c r="I33" s="12" t="s">
        <v>23</v>
      </c>
      <c r="J33" s="18" t="s">
        <v>23</v>
      </c>
      <c r="K33" s="32"/>
      <c r="L33" s="32"/>
      <c r="M33" s="32"/>
      <c r="N33" s="32"/>
    </row>
    <row r="34" spans="1:14" ht="45.75">
      <c r="A34" s="50" t="s">
        <v>571</v>
      </c>
      <c r="B34" s="139"/>
      <c r="C34" s="138"/>
      <c r="D34" s="138"/>
      <c r="E34" s="71" t="s">
        <v>572</v>
      </c>
      <c r="F34" s="70" t="s">
        <v>573</v>
      </c>
      <c r="G34" s="28" t="s">
        <v>46</v>
      </c>
      <c r="H34" s="71" t="s">
        <v>574</v>
      </c>
      <c r="I34" s="12" t="s">
        <v>23</v>
      </c>
      <c r="J34" s="18" t="s">
        <v>23</v>
      </c>
      <c r="K34" s="32"/>
      <c r="L34" s="32"/>
      <c r="M34" s="32"/>
      <c r="N34" s="32"/>
    </row>
    <row r="35" spans="1:14" ht="45.75">
      <c r="A35" s="50" t="s">
        <v>575</v>
      </c>
      <c r="B35" s="139"/>
      <c r="C35" s="138"/>
      <c r="D35" s="138"/>
      <c r="E35" s="71" t="s">
        <v>576</v>
      </c>
      <c r="F35" s="70" t="s">
        <v>577</v>
      </c>
      <c r="G35" s="28" t="s">
        <v>21</v>
      </c>
      <c r="H35" s="71" t="s">
        <v>562</v>
      </c>
      <c r="I35" s="12" t="s">
        <v>23</v>
      </c>
      <c r="J35" s="18" t="s">
        <v>23</v>
      </c>
      <c r="K35" s="32"/>
      <c r="L35" s="32"/>
      <c r="M35" s="32"/>
      <c r="N35" s="32"/>
    </row>
    <row r="36" spans="1:14" ht="30">
      <c r="A36" s="50" t="s">
        <v>578</v>
      </c>
      <c r="B36" s="139"/>
      <c r="C36" s="138"/>
      <c r="D36" s="138"/>
      <c r="E36" s="71" t="s">
        <v>579</v>
      </c>
      <c r="F36" s="70" t="s">
        <v>580</v>
      </c>
      <c r="G36" s="28" t="s">
        <v>21</v>
      </c>
      <c r="H36" s="71" t="s">
        <v>562</v>
      </c>
      <c r="I36" s="12" t="s">
        <v>23</v>
      </c>
      <c r="J36" s="18" t="s">
        <v>23</v>
      </c>
      <c r="K36" s="32"/>
      <c r="L36" s="32"/>
      <c r="M36" s="32"/>
      <c r="N36" s="32"/>
    </row>
    <row r="37" spans="1:14" ht="30">
      <c r="A37" s="50" t="s">
        <v>581</v>
      </c>
      <c r="B37" s="139"/>
      <c r="C37" s="138"/>
      <c r="D37" s="138"/>
      <c r="E37" s="71" t="s">
        <v>582</v>
      </c>
      <c r="F37" s="70" t="s">
        <v>583</v>
      </c>
      <c r="G37" s="28" t="s">
        <v>21</v>
      </c>
      <c r="H37" s="71" t="s">
        <v>562</v>
      </c>
      <c r="I37" s="12" t="s">
        <v>23</v>
      </c>
      <c r="J37" s="18" t="s">
        <v>23</v>
      </c>
      <c r="K37" s="32"/>
      <c r="L37" s="32"/>
      <c r="M37" s="32"/>
      <c r="N37" s="32"/>
    </row>
    <row r="38" spans="1:14" ht="86.25" customHeight="1">
      <c r="A38" s="50" t="s">
        <v>584</v>
      </c>
      <c r="B38" s="93" t="s">
        <v>585</v>
      </c>
      <c r="C38" s="93" t="s">
        <v>586</v>
      </c>
      <c r="D38" s="93" t="s">
        <v>587</v>
      </c>
      <c r="E38" s="71" t="s">
        <v>588</v>
      </c>
      <c r="F38" s="71" t="s">
        <v>589</v>
      </c>
      <c r="G38" s="28" t="s">
        <v>21</v>
      </c>
      <c r="H38" s="71" t="s">
        <v>590</v>
      </c>
      <c r="I38" s="12" t="s">
        <v>23</v>
      </c>
      <c r="J38" s="18" t="s">
        <v>23</v>
      </c>
      <c r="K38" s="32"/>
      <c r="L38" s="32"/>
      <c r="M38" s="32"/>
      <c r="N38" s="32"/>
    </row>
    <row r="39" spans="1:14" ht="60.75">
      <c r="A39" s="50" t="s">
        <v>591</v>
      </c>
      <c r="B39" s="96"/>
      <c r="C39" s="96"/>
      <c r="D39" s="96"/>
      <c r="E39" s="71" t="s">
        <v>592</v>
      </c>
      <c r="F39" s="71" t="s">
        <v>593</v>
      </c>
      <c r="G39" s="28" t="s">
        <v>21</v>
      </c>
      <c r="H39" s="71" t="s">
        <v>594</v>
      </c>
      <c r="I39" s="12" t="s">
        <v>23</v>
      </c>
      <c r="J39" s="18" t="s">
        <v>23</v>
      </c>
      <c r="K39" s="32"/>
      <c r="L39" s="32"/>
      <c r="M39" s="32"/>
      <c r="N39" s="32"/>
    </row>
    <row r="40" spans="1:14" ht="60.75">
      <c r="A40" s="50" t="s">
        <v>595</v>
      </c>
      <c r="B40" s="71" t="s">
        <v>596</v>
      </c>
      <c r="C40" s="71" t="s">
        <v>586</v>
      </c>
      <c r="D40" s="71" t="s">
        <v>597</v>
      </c>
      <c r="E40" s="71" t="s">
        <v>598</v>
      </c>
      <c r="F40" s="71" t="s">
        <v>599</v>
      </c>
      <c r="G40" s="28" t="s">
        <v>21</v>
      </c>
      <c r="H40" s="71" t="s">
        <v>600</v>
      </c>
      <c r="I40" s="12" t="s">
        <v>23</v>
      </c>
      <c r="J40" s="18" t="s">
        <v>23</v>
      </c>
      <c r="K40" s="32"/>
      <c r="L40" s="32"/>
      <c r="M40" s="32"/>
      <c r="N40" s="32"/>
    </row>
    <row r="41" spans="1:14" ht="86.25" customHeight="1">
      <c r="A41" s="50" t="s">
        <v>601</v>
      </c>
      <c r="B41" s="140" t="s">
        <v>602</v>
      </c>
      <c r="C41" s="73" t="s">
        <v>603</v>
      </c>
      <c r="D41" s="74" t="s">
        <v>604</v>
      </c>
      <c r="E41" s="71" t="s">
        <v>605</v>
      </c>
      <c r="F41" s="71" t="s">
        <v>599</v>
      </c>
      <c r="G41" s="28" t="s">
        <v>46</v>
      </c>
      <c r="H41" s="71" t="s">
        <v>606</v>
      </c>
      <c r="I41" s="12" t="s">
        <v>23</v>
      </c>
      <c r="J41" s="18" t="s">
        <v>23</v>
      </c>
      <c r="K41" s="32"/>
      <c r="L41" s="32"/>
      <c r="M41" s="32"/>
      <c r="N41" s="32"/>
    </row>
    <row r="42" spans="1:14" ht="106.5">
      <c r="A42" s="50" t="s">
        <v>607</v>
      </c>
      <c r="B42" s="141"/>
      <c r="C42" s="71" t="s">
        <v>586</v>
      </c>
      <c r="D42" s="71" t="s">
        <v>608</v>
      </c>
      <c r="E42" s="71" t="s">
        <v>609</v>
      </c>
      <c r="F42" s="71" t="s">
        <v>599</v>
      </c>
      <c r="G42" s="28" t="s">
        <v>21</v>
      </c>
      <c r="H42" s="71" t="s">
        <v>610</v>
      </c>
      <c r="I42" s="12" t="s">
        <v>23</v>
      </c>
      <c r="J42" s="18" t="s">
        <v>23</v>
      </c>
      <c r="K42" s="32"/>
      <c r="L42" s="32"/>
      <c r="M42" s="32"/>
      <c r="N42" s="32"/>
    </row>
    <row r="43" spans="1:14" ht="136.5">
      <c r="A43" s="50" t="s">
        <v>611</v>
      </c>
      <c r="B43" s="141"/>
      <c r="C43" s="71" t="s">
        <v>586</v>
      </c>
      <c r="D43" s="71" t="s">
        <v>612</v>
      </c>
      <c r="E43" s="71" t="s">
        <v>613</v>
      </c>
      <c r="F43" s="71" t="s">
        <v>593</v>
      </c>
      <c r="G43" s="28" t="s">
        <v>21</v>
      </c>
      <c r="H43" s="71" t="s">
        <v>614</v>
      </c>
      <c r="I43" s="12" t="s">
        <v>23</v>
      </c>
      <c r="J43" s="18" t="s">
        <v>23</v>
      </c>
      <c r="K43" s="32"/>
      <c r="L43" s="32"/>
      <c r="M43" s="32"/>
      <c r="N43" s="32"/>
    </row>
    <row r="44" spans="1:14" ht="121.5">
      <c r="A44" s="50" t="s">
        <v>615</v>
      </c>
      <c r="B44" s="141"/>
      <c r="C44" s="71" t="s">
        <v>586</v>
      </c>
      <c r="D44" s="71" t="s">
        <v>616</v>
      </c>
      <c r="E44" s="71" t="s">
        <v>617</v>
      </c>
      <c r="F44" s="70" t="s">
        <v>599</v>
      </c>
      <c r="G44" s="28" t="s">
        <v>21</v>
      </c>
      <c r="H44" s="71" t="s">
        <v>618</v>
      </c>
      <c r="I44" s="12" t="s">
        <v>23</v>
      </c>
      <c r="J44" s="18" t="s">
        <v>23</v>
      </c>
      <c r="K44" s="32"/>
      <c r="L44" s="32"/>
      <c r="M44" s="32"/>
      <c r="N44" s="32"/>
    </row>
    <row r="45" spans="1:14" ht="45.75">
      <c r="A45" s="50" t="s">
        <v>619</v>
      </c>
      <c r="B45" s="142"/>
      <c r="C45" s="70" t="s">
        <v>620</v>
      </c>
      <c r="D45" s="74" t="s">
        <v>621</v>
      </c>
      <c r="E45" s="74" t="s">
        <v>622</v>
      </c>
      <c r="F45" s="70" t="s">
        <v>623</v>
      </c>
      <c r="G45" s="28" t="s">
        <v>46</v>
      </c>
      <c r="H45" s="71" t="s">
        <v>624</v>
      </c>
      <c r="I45" s="12" t="s">
        <v>23</v>
      </c>
      <c r="J45" s="18" t="s">
        <v>23</v>
      </c>
      <c r="K45" s="32"/>
      <c r="L45" s="32"/>
      <c r="M45" s="32"/>
      <c r="N45" s="32"/>
    </row>
    <row r="46" spans="1:14">
      <c r="A46" s="6"/>
      <c r="B46" s="2"/>
      <c r="C46" s="2"/>
      <c r="D46" s="2"/>
      <c r="E46" s="2"/>
      <c r="F46" s="2"/>
      <c r="G46" s="7"/>
      <c r="H46" s="2"/>
      <c r="I46" s="2"/>
      <c r="J46" s="2"/>
      <c r="K46" s="8"/>
    </row>
    <row r="47" spans="1:14">
      <c r="A47" s="6"/>
      <c r="B47" s="2"/>
      <c r="C47" s="2"/>
      <c r="D47" s="2"/>
      <c r="E47" s="2"/>
      <c r="F47" s="2"/>
      <c r="G47" s="7"/>
      <c r="H47" s="2"/>
      <c r="I47" s="2"/>
      <c r="J47" s="2"/>
      <c r="K47" s="8"/>
    </row>
    <row r="48" spans="1:14">
      <c r="A48" s="6"/>
      <c r="B48" s="2"/>
      <c r="C48" s="2"/>
      <c r="D48" s="2"/>
      <c r="E48" s="2"/>
      <c r="F48" s="2"/>
      <c r="G48" s="7"/>
      <c r="H48" s="2"/>
      <c r="I48" s="2"/>
      <c r="J48" s="2"/>
      <c r="K48" s="8"/>
    </row>
    <row r="49" spans="1:11">
      <c r="A49" s="6"/>
      <c r="B49" s="2"/>
      <c r="C49" s="2"/>
      <c r="D49" s="2"/>
      <c r="E49" s="2"/>
      <c r="F49" s="2"/>
      <c r="G49" s="2"/>
      <c r="H49" s="2"/>
      <c r="I49" s="2"/>
      <c r="J49" s="2"/>
      <c r="K49" s="8"/>
    </row>
    <row r="50" spans="1:11">
      <c r="A50" s="6"/>
      <c r="B50" s="2"/>
      <c r="C50" s="2"/>
      <c r="D50" s="2"/>
      <c r="E50" s="2"/>
      <c r="F50" s="2"/>
      <c r="G50" s="2"/>
      <c r="H50" s="2"/>
      <c r="I50" s="2"/>
      <c r="J50" s="2"/>
      <c r="K50" s="8"/>
    </row>
    <row r="51" spans="1:11">
      <c r="A51" s="6"/>
      <c r="B51" s="2"/>
      <c r="C51" s="2"/>
      <c r="D51" s="2"/>
      <c r="E51" s="2"/>
      <c r="F51" s="2"/>
      <c r="G51" s="2"/>
      <c r="H51" s="2"/>
      <c r="I51" s="2"/>
      <c r="J51" s="2"/>
      <c r="K51" s="8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</row>
  </sheetData>
  <mergeCells count="33">
    <mergeCell ref="B41:B45"/>
    <mergeCell ref="B10:B21"/>
    <mergeCell ref="C10:C21"/>
    <mergeCell ref="F7:F8"/>
    <mergeCell ref="D3:D4"/>
    <mergeCell ref="B3:B4"/>
    <mergeCell ref="C3:C4"/>
    <mergeCell ref="B38:B39"/>
    <mergeCell ref="C38:C39"/>
    <mergeCell ref="D38:D39"/>
    <mergeCell ref="E1:E2"/>
    <mergeCell ref="N1:N2"/>
    <mergeCell ref="G1:G2"/>
    <mergeCell ref="H1:H2"/>
    <mergeCell ref="I1:J1"/>
    <mergeCell ref="K1:K2"/>
    <mergeCell ref="L1:L2"/>
    <mergeCell ref="M1:M2"/>
    <mergeCell ref="F1:F2"/>
    <mergeCell ref="A1:A2"/>
    <mergeCell ref="B1:B2"/>
    <mergeCell ref="C1:C2"/>
    <mergeCell ref="D1:D2"/>
    <mergeCell ref="B29:B37"/>
    <mergeCell ref="C29:C37"/>
    <mergeCell ref="D29:D37"/>
    <mergeCell ref="D10:D21"/>
    <mergeCell ref="D22:D28"/>
    <mergeCell ref="B22:B28"/>
    <mergeCell ref="C22:C28"/>
    <mergeCell ref="B5:B9"/>
    <mergeCell ref="C5:C9"/>
    <mergeCell ref="D5:D9"/>
  </mergeCells>
  <conditionalFormatting sqref="G3:G48">
    <cfRule type="containsText" dxfId="8" priority="9" operator="containsText" text="High">
      <formula>NOT(ISERROR(SEARCH("High",G3)))</formula>
    </cfRule>
  </conditionalFormatting>
  <conditionalFormatting sqref="G3:G48">
    <cfRule type="containsText" dxfId="7" priority="8" operator="containsText" text="Medium">
      <formula>NOT(ISERROR(SEARCH("Medium",G3)))</formula>
    </cfRule>
  </conditionalFormatting>
  <conditionalFormatting sqref="G3:G48">
    <cfRule type="containsText" dxfId="6" priority="7" operator="containsText" text="Low">
      <formula>NOT(ISERROR(SEARCH("Low",G3)))</formula>
    </cfRule>
  </conditionalFormatting>
  <conditionalFormatting sqref="I3:I45">
    <cfRule type="containsText" dxfId="5" priority="6" operator="containsText" text="Passed">
      <formula>NOT(ISERROR(SEARCH("Passed",I3)))</formula>
    </cfRule>
  </conditionalFormatting>
  <conditionalFormatting sqref="I3:I45">
    <cfRule type="containsText" dxfId="4" priority="5" operator="containsText" text="Failed">
      <formula>NOT(ISERROR(SEARCH("Failed",I3)))</formula>
    </cfRule>
  </conditionalFormatting>
  <conditionalFormatting sqref="I3:I45">
    <cfRule type="containsText" dxfId="3" priority="4" operator="containsText" text="Un-test">
      <formula>NOT(ISERROR(SEARCH("Un-test",I3)))</formula>
    </cfRule>
  </conditionalFormatting>
  <conditionalFormatting sqref="J3:J45">
    <cfRule type="containsText" dxfId="2" priority="3" operator="containsText" text="Passed">
      <formula>NOT(ISERROR(SEARCH("Passed",J3)))</formula>
    </cfRule>
  </conditionalFormatting>
  <conditionalFormatting sqref="J3:J45">
    <cfRule type="containsText" dxfId="1" priority="2" operator="containsText" text="Failed">
      <formula>NOT(ISERROR(SEARCH("Failed",J3)))</formula>
    </cfRule>
  </conditionalFormatting>
  <conditionalFormatting sqref="J3:J45">
    <cfRule type="containsText" dxfId="0" priority="1" operator="containsText" text="Un-test">
      <formula>NOT(ISERROR(SEARCH("Un-test",J3)))</formula>
    </cfRule>
  </conditionalFormatting>
  <dataValidations count="2">
    <dataValidation type="list" allowBlank="1" showInputMessage="1" showErrorMessage="1" sqref="I3:J45" xr:uid="{4A066C02-E87F-44D8-8ADF-40FBC51D57CA}">
      <formula1>"Passed, Failed, Un-test"</formula1>
    </dataValidation>
    <dataValidation type="list" allowBlank="1" showInputMessage="1" showErrorMessage="1" sqref="G3:G48" xr:uid="{75636CB9-48AA-45EB-8ED5-1683A00838FD}">
      <formula1>"High, Medium, Low"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0E9E-3AB0-47C9-87A5-FE6916B9F887}">
  <dimension ref="A1:H8"/>
  <sheetViews>
    <sheetView topLeftCell="A12" workbookViewId="0">
      <selection activeCell="I4" sqref="I4"/>
    </sheetView>
  </sheetViews>
  <sheetFormatPr defaultRowHeight="15"/>
  <cols>
    <col min="1" max="1" width="16" style="32" bestFit="1" customWidth="1"/>
    <col min="2" max="2" width="15.7109375" style="32" customWidth="1"/>
    <col min="3" max="3" width="9.140625" style="32"/>
    <col min="4" max="4" width="11.85546875" style="32" customWidth="1"/>
    <col min="5" max="16384" width="9.140625" style="32"/>
  </cols>
  <sheetData>
    <row r="1" spans="1:8" ht="15.75">
      <c r="A1" s="144" t="s">
        <v>625</v>
      </c>
      <c r="B1" s="146" t="s">
        <v>626</v>
      </c>
      <c r="C1" s="146" t="s">
        <v>13</v>
      </c>
      <c r="D1" s="147"/>
      <c r="E1" s="147"/>
      <c r="F1" s="146" t="s">
        <v>627</v>
      </c>
      <c r="G1" s="147"/>
      <c r="H1" s="147"/>
    </row>
    <row r="2" spans="1:8" ht="15.75">
      <c r="A2" s="145"/>
      <c r="B2" s="147"/>
      <c r="C2" s="85" t="s">
        <v>23</v>
      </c>
      <c r="D2" s="85" t="s">
        <v>48</v>
      </c>
      <c r="E2" s="85" t="s">
        <v>245</v>
      </c>
      <c r="F2" s="85" t="s">
        <v>23</v>
      </c>
      <c r="G2" s="85" t="s">
        <v>48</v>
      </c>
      <c r="H2" s="85" t="s">
        <v>245</v>
      </c>
    </row>
    <row r="3" spans="1:8">
      <c r="A3" s="52" t="s">
        <v>628</v>
      </c>
      <c r="B3" s="52">
        <f>COUNTIF(Register!A3:A40,"RE*")</f>
        <v>26</v>
      </c>
      <c r="C3" s="52">
        <f>COUNTIF(Register!I3:I40,"passed*")</f>
        <v>18</v>
      </c>
      <c r="D3" s="52">
        <f>COUNTIF(Register!I3:I40,"failed*")</f>
        <v>8</v>
      </c>
      <c r="E3" s="52">
        <f>COUNTIF(Register!I3:I40,"un-test*")</f>
        <v>0</v>
      </c>
      <c r="F3" s="52">
        <f>COUNTIF(Register!J3:J40,"passed*")</f>
        <v>18</v>
      </c>
      <c r="G3" s="52">
        <f>COUNTIF(Register!J3:J40,"failed*")</f>
        <v>8</v>
      </c>
      <c r="H3" s="52">
        <f>COUNTIF(Register!J3:J40,"un-test*")</f>
        <v>0</v>
      </c>
    </row>
    <row r="4" spans="1:8">
      <c r="A4" s="52" t="s">
        <v>629</v>
      </c>
      <c r="B4" s="52">
        <f>COUNTIF('Search Product'!A3:A32,"SR*")</f>
        <v>25</v>
      </c>
      <c r="C4" s="52">
        <f>COUNTIF('Search Product'!I3:I32,"Passed*")</f>
        <v>25</v>
      </c>
      <c r="D4" s="52">
        <f>COUNTIF('Search Product'!I3:I32,"failed*")</f>
        <v>0</v>
      </c>
      <c r="E4" s="52">
        <f>COUNTIF('Search Product'!I3:I32,"Un-test*")</f>
        <v>0</v>
      </c>
      <c r="F4" s="52">
        <f>COUNTIF('Search Product'!J3:J32,"Passed*")</f>
        <v>25</v>
      </c>
      <c r="G4" s="52">
        <f>COUNTIF('Search Product'!J3:J32,"Failed*")</f>
        <v>0</v>
      </c>
      <c r="H4" s="52">
        <f>COUNTIF('Search Product'!J3:J32,"Un-test*")</f>
        <v>0</v>
      </c>
    </row>
    <row r="5" spans="1:8">
      <c r="A5" s="53" t="s">
        <v>630</v>
      </c>
      <c r="B5" s="52">
        <f>COUNTIF('Product Category'!A3:A40,"PC*")</f>
        <v>30</v>
      </c>
      <c r="C5" s="52">
        <f>COUNTIF('Product Category'!I3:I40,"Passed*")</f>
        <v>29</v>
      </c>
      <c r="D5" s="52">
        <f>COUNTIF('Product Category'!I3:I40,"failed*")</f>
        <v>0</v>
      </c>
      <c r="E5" s="52">
        <f>COUNTIF('Product Category'!I3:I40,"Un-test*")</f>
        <v>1</v>
      </c>
      <c r="F5" s="52">
        <f>COUNTIF('Product Category'!J3:J40,"Passed*")</f>
        <v>29</v>
      </c>
      <c r="G5" s="52">
        <f>COUNTIF('Product Category'!J3:J40,"Failed*")</f>
        <v>0</v>
      </c>
      <c r="H5" s="52">
        <f>COUNTIF('Product Category'!J3:J40,"Un-test*")</f>
        <v>1</v>
      </c>
    </row>
    <row r="6" spans="1:8">
      <c r="A6" s="53" t="s">
        <v>631</v>
      </c>
      <c r="B6" s="52">
        <f>COUNTIF('Add Review'!A3:A20,"RV*")</f>
        <v>15</v>
      </c>
      <c r="C6" s="52">
        <f>COUNTIF('Add Review'!I3:I20,"Passed*")</f>
        <v>15</v>
      </c>
      <c r="D6" s="52">
        <f>COUNTIF('Add Review'!I3:I40,"failed*")</f>
        <v>0</v>
      </c>
      <c r="E6" s="52">
        <f>COUNTIF('Add Review'!I3:I24,"Un-test*")</f>
        <v>0</v>
      </c>
      <c r="F6" s="52">
        <f>COUNTIF('Add Review'!J3:J20,"Passed*")</f>
        <v>15</v>
      </c>
      <c r="G6" s="52">
        <f>COUNTIF('Add Review'!J3:J20,"Failed*")</f>
        <v>0</v>
      </c>
      <c r="H6" s="52">
        <f>COUNTIF('Add Review'!J3:J20,"Un-test*")</f>
        <v>0</v>
      </c>
    </row>
    <row r="7" spans="1:8">
      <c r="A7" s="53" t="s">
        <v>632</v>
      </c>
      <c r="B7" s="52">
        <f>COUNTIF('Shopping Cart'!A3:A49,"SC*")</f>
        <v>43</v>
      </c>
      <c r="C7" s="52">
        <f>COUNTIF('Shopping Cart'!I3:I49,"Passed*")</f>
        <v>43</v>
      </c>
      <c r="D7" s="52">
        <f>COUNTIF('Shopping Cart'!I3:I49,"failed*")</f>
        <v>0</v>
      </c>
      <c r="E7" s="52">
        <f>COUNTIF('Shopping Cart'!I3:I49,"Un-test*")</f>
        <v>0</v>
      </c>
      <c r="F7" s="52">
        <f>COUNTIF('Shopping Cart'!J3:J49,"Passed*")</f>
        <v>43</v>
      </c>
      <c r="G7" s="52">
        <f>COUNTIF('Shopping Cart'!J3:J49,"Failed*")</f>
        <v>0</v>
      </c>
      <c r="H7" s="52">
        <f>COUNTIF('Shopping Cart'!J3:J49,"Un-test*")</f>
        <v>0</v>
      </c>
    </row>
    <row r="8" spans="1:8">
      <c r="B8" s="60">
        <f>SUM(B3:B7)</f>
        <v>139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2026-03-16T06:53:21Z</dcterms:created>
  <dcterms:modified xsi:type="dcterms:W3CDTF">2026-06-14T13:38:22Z</dcterms:modified>
  <cp:category/>
  <cp:contentStatus/>
</cp:coreProperties>
</file>